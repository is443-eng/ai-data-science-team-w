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cdc-my.sharepoint.com/personal/qsw2_cdc_gov/Documents/R3SB/DAV Team/Public Dataset Rollout/"/>
    </mc:Choice>
  </mc:AlternateContent>
  <xr:revisionPtr revIDLastSave="480" documentId="8_{0C1159C6-1846-4E7E-9BEB-F5870DAB4075}" xr6:coauthVersionLast="47" xr6:coauthVersionMax="47" xr10:uidLastSave="{7FE4B1B4-AE73-4CFF-86A2-4DDCE7EFB9DF}"/>
  <bookViews>
    <workbookView xWindow="-110" yWindow="-110" windowWidth="19420" windowHeight="10300" tabRatio="616" firstSheet="1" activeTab="1" xr2:uid="{F8087A15-BC5A-4606-B91A-FC45DA249120}"/>
  </bookViews>
  <sheets>
    <sheet name="Read Me" sheetId="2" r:id="rId1"/>
    <sheet name="Metadata" sheetId="1" r:id="rId2"/>
    <sheet name="Value Sets" sheetId="7" r:id="rId3"/>
  </sheets>
  <definedNames>
    <definedName name="_xlnm._FilterDatabase" localSheetId="1" hidden="1">Metadata!$A$1:$H$38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 i="1" l="1" a="1"/>
  <c r="E12" i="1" a="1"/>
  <c r="E4" i="1" a="1"/>
  <c r="E15" i="1" a="1"/>
  <c r="B1" i="1" a="1"/>
  <c r="E16" i="1" a="1"/>
  <c r="E13" i="1" a="1"/>
  <c r="A1" i="1" a="1"/>
  <c r="E11" i="1" a="1"/>
  <c r="E11" i="1" l="1"/>
  <c r="A1" i="1"/>
  <c r="E13" i="1"/>
  <c r="E16" i="1"/>
  <c r="B1" i="1"/>
  <c r="E15" i="1"/>
  <c r="E4" i="1"/>
  <c r="E12" i="1"/>
  <c r="G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<sst xmlns="http://schemas.openxmlformats.org/spreadsheetml/2006/main" count="1070" uniqueCount="731">
  <si>
    <t>This is general guidance given to partners on data submission requirements.</t>
  </si>
  <si>
    <t>Data Submission Requirements</t>
  </si>
  <si>
    <t>Required fields:</t>
  </si>
  <si>
    <t xml:space="preserve">These fields must be included in the data file that is submitted by jurisdictions; if they are omitted, file upload will be prohibited. </t>
  </si>
  <si>
    <t>Non-required but non-empty fields:</t>
  </si>
  <si>
    <t xml:space="preserve">Some fields  are "not required" but also must have non-empty values, conditional on the completion of another field. </t>
  </si>
  <si>
    <t>Value Sets</t>
  </si>
  <si>
    <t>Requesting additional values for categorical fields:</t>
  </si>
  <si>
    <t xml:space="preserve">For categorical fields, values are restricted to those listed in the Value Sets. </t>
  </si>
  <si>
    <t>Case sensitivity:</t>
  </si>
  <si>
    <t>Fields are not case sensitive.</t>
  </si>
  <si>
    <t>Data Type Definitions</t>
  </si>
  <si>
    <t>string</t>
  </si>
  <si>
    <t>ASCII-encoded characters; do not use line breaks within a value</t>
  </si>
  <si>
    <t>float</t>
  </si>
  <si>
    <t>Floating-point (i.e., decimal) number</t>
  </si>
  <si>
    <t>integer</t>
  </si>
  <si>
    <t>Integer number</t>
  </si>
  <si>
    <t>date</t>
  </si>
  <si>
    <t>yyyy-mm-dd</t>
  </si>
  <si>
    <t>list</t>
  </si>
  <si>
    <t>Comma-separated strings</t>
  </si>
  <si>
    <t>category</t>
  </si>
  <si>
    <t>Categorical variable with a defined value set of strings</t>
  </si>
  <si>
    <t>Terminology</t>
  </si>
  <si>
    <t>PCR:</t>
  </si>
  <si>
    <t>Throughout this data dictionary, the term "PCR" (polymerase chain reaction) is used as a shorthand for "PCR-based quantification methods", even when the method is an RT-PCR (reverse transcriptase PCR)-based method for RNA targets, such as SARS-CoV-2. In addition, the term PCR does not refer to end-point PCR methods, but rather quantitative PCR methods, such as quantitative (real time) PCR or digital PCR.</t>
  </si>
  <si>
    <t>Field Name Color Key</t>
  </si>
  <si>
    <t>Data that may be generated by the reporting jurisdiction public health agency, possibly in collaboration with either wastewater utilities or testing laboratories</t>
  </si>
  <si>
    <t>Data likely generated by testing laboratories</t>
  </si>
  <si>
    <t>Data likely generated by wastewater utilities</t>
  </si>
  <si>
    <t>Data generated via calculation on platform</t>
  </si>
  <si>
    <t>Version Update History</t>
  </si>
  <si>
    <t>Initial date</t>
  </si>
  <si>
    <t>Version 1.1, update date</t>
  </si>
  <si>
    <t>Added variables: record_id, source; update to data descriptions for "inhibition_adjust", "inhibition_detect", "ntc_amplify"</t>
  </si>
  <si>
    <t>Description</t>
  </si>
  <si>
    <t>Calculated Field (Y/N)</t>
  </si>
  <si>
    <t>Value Set</t>
  </si>
  <si>
    <t>Units</t>
  </si>
  <si>
    <t>Dependent Fields</t>
  </si>
  <si>
    <t>record_id</t>
  </si>
  <si>
    <t>A unique identifier for each row of data.</t>
  </si>
  <si>
    <t>N</t>
  </si>
  <si>
    <t>[none]</t>
  </si>
  <si>
    <t>sewershed_id</t>
  </si>
  <si>
    <t>A unique identifier for wastewater treatment plants. This is an arbitrary integer used to provide a unique, but anonymous identifier for a wastewater treatment plant. This identifier is consistent over time, such that the same plant retains the same ID regardless of the addition or subtraction of other plants from the data set.</t>
  </si>
  <si>
    <t>Required</t>
  </si>
  <si>
    <t>None</t>
  </si>
  <si>
    <t>wwtp_jurisdiction</t>
  </si>
  <si>
    <t>State, DC, US territory, or Freely Associated State jurisdiction name (2-letter abbreviation) in which the wastewater treatment plant is located</t>
  </si>
  <si>
    <t>source</t>
  </si>
  <si>
    <t>The source of the data submitted to NWSS (e.g, State_Territory, WWS, CDC_Verily, &amp; CDC_Biobot).</t>
  </si>
  <si>
    <t>county_fips</t>
  </si>
  <si>
    <t>list (comma-separated integers)</t>
  </si>
  <si>
    <t>5-digit numeric FIPS codes of all counties and county equivalents served by this sampling site (i.e., served by this wastewater treatment plant or, if 'sample_location' is "upstream", then by this upstream location). Note that most jurisdictions are covered by counties, but some are covered by county equivalents, such as independent cities, parishes, or census areas.</t>
  </si>
  <si>
    <t>[5-digit integers]</t>
  </si>
  <si>
    <t>counties_served</t>
  </si>
  <si>
    <t>The county and county-equivalent names corresponding to the FIPS codes in 'county_fips'</t>
  </si>
  <si>
    <t>population_served</t>
  </si>
  <si>
    <t>Estimated number of persons served by this sampling site (i.e., served by this wastewater treatment plant or, if 'sample_location' is "upstream", then by this upstream location).</t>
  </si>
  <si>
    <t>[greater than or equal to 0]</t>
  </si>
  <si>
    <t>sample_id</t>
  </si>
  <si>
    <t xml:space="preserve">An anonymized ID assigned to wastewater samples. Wastewater samples for which multiple pathogen PCR targets are measured should have the same sample ID. </t>
  </si>
  <si>
    <t>[sample id]</t>
  </si>
  <si>
    <t>sample_collect_date</t>
  </si>
  <si>
    <t>date ([yyyy]-[mm]-[dd])</t>
  </si>
  <si>
    <t>Sample collection date.</t>
  </si>
  <si>
    <t>[date]</t>
  </si>
  <si>
    <t>sample_type</t>
  </si>
  <si>
    <t>Type of sample collected, whether grab or composite. If composite, the duration of sampling and type of composite is specified (e.g., "24-hr flow-weighted composite"). A grab sample is defined as an individual sample collected without compositing or adding other samples, regardless of whether the sample matrix is liquid wastewater or sludge.</t>
  </si>
  <si>
    <t>sample_matrix</t>
  </si>
  <si>
    <t>Wastewater matrix from which the sample was collected. Wastewater matrix is a categorical variable specifying the type of wastewater sample used (e.g., raw influent, primary sludge, settled solids).</t>
  </si>
  <si>
    <t>sample_location</t>
  </si>
  <si>
    <t>Sample collection location in the wastewater system, whether at a wastewater treatment plant (or other community level treatment infrastructure such as community-scale septic) or upstream in the wastewater system.</t>
  </si>
  <si>
    <t>flow_rate</t>
  </si>
  <si>
    <t xml:space="preserve">Wastewater volumetric flow rate at the sample collection location over the 24-hr period during which the sample was collected. If only an instantaneous flow measurement is available, it may be reported in units of million gallons per day. </t>
  </si>
  <si>
    <t>[greater than or equal to 0];
[empty]</t>
  </si>
  <si>
    <t>Million gallons per day (MGD)</t>
  </si>
  <si>
    <t>If 'sars_cov2_units' is on a per volume wastewater basis (e.g., copies/l wastewater), then this must have a non-empty value (i.e., measurements of wastewater solids are permitted empty values for 'flow_rate'). If 'hum_frac_mic_conc' has a non-empty value and it is not possible to measure flow rate at all, then this may have an empty value.</t>
  </si>
  <si>
    <t>concentration_method</t>
  </si>
  <si>
    <t xml:space="preserve">Laboratory method used to concentrate (or enrich) the sample prior to analysis of the concentrate. This procedures concentrates pathogen titers from a larger volume of wastewater prior to extraction and molecular detection. </t>
  </si>
  <si>
    <t>pasteurized</t>
  </si>
  <si>
    <t xml:space="preserve">A yes/no flag indicating whether  the sample pasteurized or heat treated. </t>
  </si>
  <si>
    <t>pcr_type</t>
  </si>
  <si>
    <t>The type of PCR (e.g., qPCR, dPCR, ddPCR) used to quantify the PCR target.</t>
  </si>
  <si>
    <t>[See Value Sets: vs_pcr_type]</t>
  </si>
  <si>
    <t>If 'pcr_target' is not "sars-cov-2", "delta", "omicron", "hMPXV", "hMPXV Clade I", or "hMPXV Clade II" then this must be a type of digital PCR, i.e. "ddpcr", "qiagen dpcr", "fluidigm dpcr", "life technologies dpcr", "raindance dpcr", or "dpcr"</t>
  </si>
  <si>
    <t>extraction_method</t>
  </si>
  <si>
    <t>Laboratory method used to purify the genetic material (RNA or DNA) of the PCR target by extraction from the sample.</t>
  </si>
  <si>
    <t>[See Value Sets: vs_extraction_method]</t>
  </si>
  <si>
    <t>major_lab_method</t>
  </si>
  <si>
    <t>A number used to distinguish major lab methods at the reporting jurisdiction level. Differences in lab methods may limit the comparability of PCR target concentrations. Reporting jurisdictions should use this field to indicate that lab methods are sufficiently different that caution should be used when comparing PCR target concentrations across them. These differences may result from any lab processing or quantification steps, including different PCR gene targets. Note that 'major_lab_method' may be the same for different laboratories if the reporting jurisdiction believes concentrations measured by those laboratories are comparable; conversely, 'major_lab_method' may be different for the same laboratory if changes made to the laboratory protocol rendered concentrations not comparable. Also note that major lab method is only comparable across reporting site and should not be compared across different sites.</t>
  </si>
  <si>
    <t>inhibition_detect</t>
  </si>
  <si>
    <t>A yes/no flag indicating whether inhibition was detected in the assay. A "yes" value means that amplification or detection are suppressed due to interfering substances in the sample, while a "no" value means inhibition was not detected. Detecting inhibition is essential for assessing assay performance and ensuring reliable quantification of target analytes.</t>
  </si>
  <si>
    <t>[See Value Sets: vs_ynn]</t>
  </si>
  <si>
    <t>inhibition_adjust</t>
  </si>
  <si>
    <t>A yes/no flag indicating whether inhibitory effects were factored into the PCR target concentration calculation and value. A “yes” value means that the measured PCR target concentration was adjusted for suppressed signals due to interfering substances. Incorporating inhibition adjustments prevents underestimation of target levels.</t>
  </si>
  <si>
    <t>[See Value Sets: vs_yne]</t>
  </si>
  <si>
    <t>If 'inhibition_detect' is "yes", then this must have a non-empty value</t>
  </si>
  <si>
    <t>ntc_amplify</t>
  </si>
  <si>
    <t>A yes/no flag indicating target amplification above the threshold for a positive detection in the no template control reaction(s). A no template control is a negative control reaction run without the addition of nucleic acid template that is used to detect potential contamination. A "yes" value indicates a positive NTC result which suggests contamination and the experiment is no longer valid.</t>
  </si>
  <si>
    <t>[See Value Sets: vs_yn]</t>
  </si>
  <si>
    <t>pcr_target</t>
  </si>
  <si>
    <t>The target of the PCR quantification (pathogen or antimicrobial resistance (AMR) groups).</t>
  </si>
  <si>
    <t>[See Value Sets: vs_pcr_target]</t>
  </si>
  <si>
    <t>pcr_gene_target_agg</t>
  </si>
  <si>
    <t>The PCR gene used to quantify PCR target. Multiple gene targets may be tested, in which case they would be aggregated to reflect the various targets.</t>
  </si>
  <si>
    <t>[See Value Sets: vs_pcr_gene_target]</t>
  </si>
  <si>
    <t>The value selected for pcr_gene_target should align with the value selected for pcr_target</t>
  </si>
  <si>
    <t>pcr_target_avg_conc</t>
  </si>
  <si>
    <t xml:space="preserve">Concentration of the PCR target back-calculated to unconcentrated sample basis; value is "0" if no amplification occurred, using the definition of amplification described in 'ntc_amplify'; otherwise, the estimated concentration was entered; does not adjust for matrix recovery efficiency. Only the technical or biological replicate concentrations for the same pcr_gene_target are averaged.  </t>
  </si>
  <si>
    <t>[any float other than 0];
0 (if no amplification observed)</t>
  </si>
  <si>
    <t>[units specified in 'pcr_target_units']</t>
  </si>
  <si>
    <t>The concentration should relate to the PCR target indicated in pcr_target</t>
  </si>
  <si>
    <t>pcr_target_units</t>
  </si>
  <si>
    <t>Units of PCR target sample concentration</t>
  </si>
  <si>
    <t>[See Value Sets: vs_mic_chem_units]</t>
  </si>
  <si>
    <t>The units should relate to the PCR target indicated in pcr_target</t>
  </si>
  <si>
    <t>lod_sewage</t>
  </si>
  <si>
    <t>PCR target limit of detection (LOD) is the lowest analyte concentration that can be reliably detected by a PCR assay. This value is the LOD concentration that has been back-calculated to the PCR target concentration PRIOR to sample concentration to adjust for any concentrations or dilutions performed on samples.</t>
  </si>
  <si>
    <t>[float]</t>
  </si>
  <si>
    <t>The LOD should relate to the PCR target indicated in pcr_target</t>
  </si>
  <si>
    <t>pcr_target_avg_conc_lin</t>
  </si>
  <si>
    <t>Concentration of the PCR target on a per sample amount basis; this is merely 'pcr_target_avg_conc', where all values are on a linear (not log10) concentration basis. The PCR target is defined in the field, 'pcr_target' and its associated target gene in 'pcr_gene_target'.</t>
  </si>
  <si>
    <t>Y</t>
  </si>
  <si>
    <t>Not required</t>
  </si>
  <si>
    <t>pcr_target_flowpop_lin</t>
  </si>
  <si>
    <t>Flow-population-normalized PCR target concentration on linear scale; calculated as concentration*flow/population. The PCR target is defined in the field, 'pcr_target' and its associated target gene in 'pcr_gene_target'.</t>
  </si>
  <si>
    <t>10(log10('pcr_target_avg_conc_lin') + log10('flow_rate*(3.7854*1e6)) - log10('population_served'))</t>
  </si>
  <si>
    <t>pcr_target_mic_lin</t>
  </si>
  <si>
    <t>Microbial-normalized PCR target concentration on linear scale; calculated as (concentration of pathogen) / (concentration of microbial endogenous control). The PCR target is defined in the field, 'pcr_target' and its associated target gene in 'pcr_gene_target'.</t>
  </si>
  <si>
    <t xml:space="preserve"> 'pcr_target_avg_conc_lin'/'hum_frac_mic_conc'</t>
  </si>
  <si>
    <t>hum_frac_target_mic</t>
  </si>
  <si>
    <t>Name of microbial target used to estimate human fecal content.</t>
  </si>
  <si>
    <t>[See Value Sets: vs_hum_frac_target_mic]</t>
  </si>
  <si>
    <t>If 'hum_frac_mic_conc' has a non-empty value, then this must have a non-empty value</t>
  </si>
  <si>
    <t>hum_frac_mic_conc</t>
  </si>
  <si>
    <t>Concentration of microbial target specified in 'hum_frac_target_mic'.</t>
  </si>
  <si>
    <t>[float];
[empty]</t>
  </si>
  <si>
    <t>[units specified in 'hum_frac_mic_unit']</t>
  </si>
  <si>
    <t>If 'hum_frac_mic_unit' has a non-empty value, then this must have a non-empty value</t>
  </si>
  <si>
    <t>hum_frac_mic_unit</t>
  </si>
  <si>
    <t>Concentration units of microbial target specified in 'hum_frac_target_mic'.</t>
  </si>
  <si>
    <t>[See Value Sets: vs_mic_chem_units_e]</t>
  </si>
  <si>
    <t>rec_eff_percent</t>
  </si>
  <si>
    <t>Recovery efficiency percent calculates the recovery (or loss) of an exogenous organism ("rec_eff_target_name") from a wastewater sample after it has been fully processed (e.g., concentration and extraction) and measured by molecular detection methods such as PCR. Recovery efficiency percent is calculated by comparing the total measured gene copies in the fully processed sample (e.g., nucleic acid extract) to the measured or theoretical gene copy value of the initial spike-in concentration that was added to the wastewater sample prior to processing ("rec_eff_spike_conc"). “rec_eff_percent” = [((Measured "rec_eff_target_name" gene copies)/("rec_eff_spike_conc" gene copies)) x 100].</t>
  </si>
  <si>
    <t>[greater than or equal to 0.0];
-1 (if not tested)</t>
  </si>
  <si>
    <t>percent</t>
  </si>
  <si>
    <t>“rec_eff_percent” = [((Measured "rec_eff_target_name" gene copies)/("rec_eff_spike_conc" gene copies)) x 100]</t>
  </si>
  <si>
    <t>rec_eff_target_name</t>
  </si>
  <si>
    <t>Name of the recovery efficiency control target that is spiked in to the sample process to assess recovery efficiency. The measured concentration of this variable is used to calculate "rec_eff_percent."</t>
  </si>
  <si>
    <t>[See Value Sets: vs_rec_eff_target_name]</t>
  </si>
  <si>
    <t>If 'rec_eff_percent' is equal to a value other than "-1", then this must have a non-empty value</t>
  </si>
  <si>
    <t>rec_eff_spike_matrix</t>
  </si>
  <si>
    <t xml:space="preserve">Matrix into which the recovery efficiency control target is spiked to assess recovery efficiency:  "rec_eff_percent." </t>
  </si>
  <si>
    <t>[See Value Sets: vs_rec_eff_spike_matrix]</t>
  </si>
  <si>
    <t>If 'rec_eff_target_name' has a non-empty value, then this must have a non-empty value</t>
  </si>
  <si>
    <t>rec_eff_spike_conc</t>
  </si>
  <si>
    <t>Spike concentration, on average, of the recovery control on a per sample volume basis. This value is used to assess the recovery efficiency: "rec_eff_percent."</t>
  </si>
  <si>
    <t>log10 copies/mL</t>
  </si>
  <si>
    <t>date_updated</t>
  </si>
  <si>
    <t>timestamp of processing run used in posted data.  "As of " stamp.</t>
  </si>
  <si>
    <t>Field</t>
  </si>
  <si>
    <t>Value Set Name</t>
  </si>
  <si>
    <t>Value Set Name:</t>
  </si>
  <si>
    <t>vs_concentration_method</t>
  </si>
  <si>
    <t>vs_extraction_method</t>
  </si>
  <si>
    <t>vs_hum_frac_target_mic</t>
  </si>
  <si>
    <t>vs_mic_chem_units_e</t>
  </si>
  <si>
    <t>vs_pcr_target</t>
  </si>
  <si>
    <t>vs_pcr_gene_target</t>
  </si>
  <si>
    <t>vs_pcr_type</t>
  </si>
  <si>
    <t>vs_rec_eff_spike_matrix</t>
  </si>
  <si>
    <t>vs_rec_eff_target_name</t>
  </si>
  <si>
    <t>vs_sample_location</t>
  </si>
  <si>
    <t>vs_sample_matrix</t>
  </si>
  <si>
    <t>vs_sample_type</t>
  </si>
  <si>
    <t>vs_wwtp_jurisdiction</t>
  </si>
  <si>
    <t>vs_yn</t>
  </si>
  <si>
    <t>vs_yne</t>
  </si>
  <si>
    <t>vs_ynn</t>
  </si>
  <si>
    <t>vs_mic_chem_units</t>
  </si>
  <si>
    <t>membrane filtration with addition of mgcl2</t>
  </si>
  <si>
    <t>qiagen allprep powerviral dna/rna kit</t>
  </si>
  <si>
    <t>pepper mild mottle virus</t>
  </si>
  <si>
    <t>copies/L wastewater</t>
  </si>
  <si>
    <t>sars-cov-2</t>
  </si>
  <si>
    <t>n</t>
  </si>
  <si>
    <t xml:space="preserve">CDC validated SARS-CoV-2 assay. CDC IFU Source: Qiagen QIAcuity® Digital PCR (dPCR) Duplex Assay for Detection and Quantification of SARS-CoV-2 and Respiratory Syncytial Virus (RSV) in Wastewater </t>
  </si>
  <si>
    <t>qpcr</t>
  </si>
  <si>
    <t>Real-time PCR, also called 'quantitative' PCR</t>
  </si>
  <si>
    <t>raw sample</t>
  </si>
  <si>
    <t>bcov vaccine</t>
  </si>
  <si>
    <t xml:space="preserve"> </t>
  </si>
  <si>
    <t>wwtp</t>
  </si>
  <si>
    <t>A sampling location at a wastewater treatment plant or other community-scale treatment infrastructure specified in 'wwtp_name'</t>
  </si>
  <si>
    <t>raw wastewater</t>
  </si>
  <si>
    <t>Wastewater without any form of treatment applied to it</t>
  </si>
  <si>
    <t>grab</t>
  </si>
  <si>
    <t>An individual sample collected without compositing or adding other samples</t>
  </si>
  <si>
    <t>AL</t>
  </si>
  <si>
    <t>Alabama</t>
  </si>
  <si>
    <t>yes</t>
  </si>
  <si>
    <t>membrane filtration with sample acidification</t>
  </si>
  <si>
    <t>qiagen allprep powerfecal dna/rna kit</t>
  </si>
  <si>
    <t>crassphage</t>
  </si>
  <si>
    <t>log10 copies/L wastewater</t>
  </si>
  <si>
    <t>hMPXV</t>
  </si>
  <si>
    <t>n1</t>
  </si>
  <si>
    <t>sars-cov-2 gene target</t>
  </si>
  <si>
    <t>ddpcr</t>
  </si>
  <si>
    <t>Used to refer specifically to BioRad digital droplet emulsification technology</t>
  </si>
  <si>
    <t>raw sample post pasteurization</t>
  </si>
  <si>
    <t>bcov culture</t>
  </si>
  <si>
    <t>upstream</t>
  </si>
  <si>
    <t>A sampling location other than "wwtp"</t>
  </si>
  <si>
    <t>post grit removal</t>
  </si>
  <si>
    <t>Wastewater after removal of large solids at a treatment plant but prior to a primary clarifier</t>
  </si>
  <si>
    <t>48-hr flow-weighted composite</t>
  </si>
  <si>
    <t>AK</t>
  </si>
  <si>
    <t>Alaska</t>
  </si>
  <si>
    <t>no</t>
  </si>
  <si>
    <t>membrane filtration with acidification and mgcl2</t>
  </si>
  <si>
    <t>qiagen allprep dna/rna kit</t>
  </si>
  <si>
    <t>hf183</t>
  </si>
  <si>
    <t>copies/g wet sludge</t>
  </si>
  <si>
    <t>Wet sludge mass is based on the mass of sludge without drying the solids in a drying oven</t>
  </si>
  <si>
    <t>hMPXV Clade I</t>
  </si>
  <si>
    <t>https://www.cdc.gov/mpox/outbreaks/2023/index.html</t>
  </si>
  <si>
    <t>n2</t>
  </si>
  <si>
    <t>qiagen dpcr</t>
  </si>
  <si>
    <t>clarified sample</t>
  </si>
  <si>
    <t>brsv vaccine</t>
  </si>
  <si>
    <t>primary sludge</t>
  </si>
  <si>
    <t>Sludge from the primary clarifier</t>
  </si>
  <si>
    <t>47-hr flow-weighted composite</t>
  </si>
  <si>
    <t>AS</t>
  </si>
  <si>
    <t>American Samoa</t>
  </si>
  <si>
    <t>[empty]</t>
  </si>
  <si>
    <t>not tested</t>
  </si>
  <si>
    <t>hum_frac_chem_unit</t>
  </si>
  <si>
    <t>membrane filtration with no amendment</t>
  </si>
  <si>
    <t>qiagen rneasy powermicrobiome kit</t>
  </si>
  <si>
    <t>f+ rna coliphage</t>
  </si>
  <si>
    <t>log10 copies/g wet sludge</t>
  </si>
  <si>
    <t>hMPXV Clade II</t>
  </si>
  <si>
    <t>n3</t>
  </si>
  <si>
    <t>fluidigm dpcr</t>
  </si>
  <si>
    <t>sample concentrate</t>
  </si>
  <si>
    <t>brsv culture</t>
  </si>
  <si>
    <t xml:space="preserve">primary effluent </t>
  </si>
  <si>
    <t>Effluent from the primary clarifier</t>
  </si>
  <si>
    <t>46-hr flow-weighted composite</t>
  </si>
  <si>
    <t>AZ</t>
  </si>
  <si>
    <t>Arizona</t>
  </si>
  <si>
    <t>membrane filtration with addition of mgcl2, membrane recombined with separated solids</t>
  </si>
  <si>
    <t>qiagen powerwater kit</t>
  </si>
  <si>
    <t>f+ dna coliphage</t>
  </si>
  <si>
    <t>copies/g dry sludge</t>
  </si>
  <si>
    <t>Dry sludge mass is based on the mass of solids after drying in a drying oven</t>
  </si>
  <si>
    <t>NVO</t>
  </si>
  <si>
    <t>Non-Variolla Orthopoxvirus. Source: CDC https://www.cdc.gov/mmwr/volumes/71/wr/mm7128e1.htm</t>
  </si>
  <si>
    <t>e_sarbeco</t>
  </si>
  <si>
    <t>life technologies dpcr</t>
  </si>
  <si>
    <t>lysis buffer</t>
  </si>
  <si>
    <t>murine coronavirus</t>
  </si>
  <si>
    <t>secondary sludge</t>
  </si>
  <si>
    <t>Sludge from the secondary clarifier</t>
  </si>
  <si>
    <t>45-hr flow-weighted composite</t>
  </si>
  <si>
    <t>AR</t>
  </si>
  <si>
    <t>Arkansas</t>
  </si>
  <si>
    <t>membrane filtration with sample acidification, membrane recombined with separated solids</t>
  </si>
  <si>
    <t>qiagen rneasy kit</t>
  </si>
  <si>
    <t>PMMoV (GT-Digital)</t>
  </si>
  <si>
    <t>log10 copies/g dry sludge</t>
  </si>
  <si>
    <t>FLUAV</t>
  </si>
  <si>
    <t>Influenza A. Source: Bacterial and Viral Bioinformatics Resource Center (BV-BRC)</t>
  </si>
  <si>
    <t>n_sarbeco</t>
  </si>
  <si>
    <t>raindance dpcr</t>
  </si>
  <si>
    <t>dewatered solids</t>
  </si>
  <si>
    <t>oc43</t>
  </si>
  <si>
    <t>secondary effluent</t>
  </si>
  <si>
    <t>Efluent from the secondary clarifier</t>
  </si>
  <si>
    <t>44-hr flow-weighted composite</t>
  </si>
  <si>
    <t>CA</t>
  </si>
  <si>
    <t>California</t>
  </si>
  <si>
    <t>pcr_gene_target</t>
  </si>
  <si>
    <t>membrane filtration with acidification and mgcl2, membrane recombined with separated solids</t>
  </si>
  <si>
    <t>qiagen ez1 virus mini kit v2.0</t>
  </si>
  <si>
    <t>micrograms/L wastewater</t>
  </si>
  <si>
    <t>RSV</t>
  </si>
  <si>
    <t>Respiratory Syncytial Virus</t>
  </si>
  <si>
    <t>rdrp_sarsr</t>
  </si>
  <si>
    <t>dpcr</t>
  </si>
  <si>
    <t>Generic digital PCR</t>
  </si>
  <si>
    <t>phi6</t>
  </si>
  <si>
    <t>septage</t>
  </si>
  <si>
    <t>Wastewater sampled from within a septic tank</t>
  </si>
  <si>
    <t>43-hr flow-weighted composite</t>
  </si>
  <si>
    <t>CO</t>
  </si>
  <si>
    <t>Colorado</t>
  </si>
  <si>
    <t>membrane filtration with no amendment, membrane recombined with separated solids</t>
  </si>
  <si>
    <t>promega ht tna kit</t>
  </si>
  <si>
    <t>log10 micrograms/L wastewater</t>
  </si>
  <si>
    <t>FLUAV A H5</t>
  </si>
  <si>
    <t>Influenza A H5 targets (including H5, H5a, and H5b primers and probe sets). LOINC short name Guidance for Standards-Based Electronic Laboratory Reporting for Influenzahttps://www.cdc.gov/flu/professionals/diagnosis/rtpcr-test-kits.htm</t>
  </si>
  <si>
    <t>niid_2019-ncov_n</t>
  </si>
  <si>
    <t>puro</t>
  </si>
  <si>
    <t>holding tank</t>
  </si>
  <si>
    <t>Wastewater sampled from a holding tank, such as from an airplane or ship</t>
  </si>
  <si>
    <t>42-hr flow-weighted composite</t>
  </si>
  <si>
    <t>MP</t>
  </si>
  <si>
    <t>Commonwealth of Northern Mariana Islands</t>
  </si>
  <si>
    <t>peg precipitation</t>
  </si>
  <si>
    <t>promega automated tna kit</t>
  </si>
  <si>
    <t>micrograms/g wet sludge</t>
  </si>
  <si>
    <t>MeV_WT</t>
  </si>
  <si>
    <t>Wildtype Measles Virus</t>
  </si>
  <si>
    <t>rdrp gene / ncov_ip2</t>
  </si>
  <si>
    <t>ms2 coliphage</t>
  </si>
  <si>
    <t>41-hr flow-weighted composite</t>
  </si>
  <si>
    <t>CT</t>
  </si>
  <si>
    <t>Connecticut</t>
  </si>
  <si>
    <t>aloh3 precipitation</t>
  </si>
  <si>
    <t>promega manual tna kit</t>
  </si>
  <si>
    <t>log10 micrograms/g wet sludge</t>
  </si>
  <si>
    <t>rdrp gene / ncov_ip4</t>
  </si>
  <si>
    <t>hep g armored rna</t>
  </si>
  <si>
    <t>40-hr flow-weighted composite</t>
  </si>
  <si>
    <t>DE</t>
  </si>
  <si>
    <t>Delaware</t>
  </si>
  <si>
    <t>ultracentrifugation</t>
  </si>
  <si>
    <t>promega wastewater large volume tna capture kit</t>
  </si>
  <si>
    <t>micrograms/g dry sludge</t>
  </si>
  <si>
    <t>taqpath n</t>
  </si>
  <si>
    <t>heat inactivated sars-cov-2 virus</t>
  </si>
  <si>
    <t>39-hr flow-weighted composite</t>
  </si>
  <si>
    <t>DC</t>
  </si>
  <si>
    <t>District of Columbia</t>
  </si>
  <si>
    <t>skimmed milk flocculation</t>
  </si>
  <si>
    <t>nuclisens automated magnetic bead extraction kit</t>
  </si>
  <si>
    <t>log10 micrograms/g dry sludge</t>
  </si>
  <si>
    <t>taqpath s</t>
  </si>
  <si>
    <t xml:space="preserve">murine hepatitis virus </t>
  </si>
  <si>
    <t>38-hr flow-weighted composite</t>
  </si>
  <si>
    <t>FM</t>
  </si>
  <si>
    <t>Federated States of Micronesia</t>
  </si>
  <si>
    <t>beef extract flocculation</t>
  </si>
  <si>
    <t>nuclisens manual magnetic bead extraction kit</t>
  </si>
  <si>
    <t>orf1b</t>
  </si>
  <si>
    <t>MHV (PREvalence)</t>
  </si>
  <si>
    <t>37-hr flow-weighted composite</t>
  </si>
  <si>
    <t>FL</t>
  </si>
  <si>
    <t>Florida</t>
  </si>
  <si>
    <t>phenol chloroform</t>
  </si>
  <si>
    <t>orf1ab</t>
  </si>
  <si>
    <t>BCoV (GT-Digital)</t>
  </si>
  <si>
    <t>36-hr flow-weighted composite</t>
  </si>
  <si>
    <t>GA</t>
  </si>
  <si>
    <t>Georgia</t>
  </si>
  <si>
    <t>centricon ultrafiltration</t>
  </si>
  <si>
    <t>chemagic viral dna/rna 300 kit</t>
  </si>
  <si>
    <t>n1 and n2 combined</t>
  </si>
  <si>
    <t>sars-cov-2 gene target; Detection of N1 and N2 targets was performed on a single fluorescence channel, such that distinct measurements for N1 and N2 do not exist</t>
  </si>
  <si>
    <t>parapoxvirus</t>
  </si>
  <si>
    <t>35-hr flow-weighted composite</t>
  </si>
  <si>
    <t>GU</t>
  </si>
  <si>
    <t>Guam</t>
  </si>
  <si>
    <t>amicon ultrafiltration</t>
  </si>
  <si>
    <t>trizol, zymo mag beads w/ zymo clean and concentrator</t>
  </si>
  <si>
    <t>s</t>
  </si>
  <si>
    <t>34-hr flow-weighted composite</t>
  </si>
  <si>
    <t>HI</t>
  </si>
  <si>
    <t>Hawaii</t>
  </si>
  <si>
    <t>hollow fiber dead end ultrafiltration</t>
  </si>
  <si>
    <t>4s method (https://www.protocols.io/view/v-4-direct-wastewater-rna-capture-and-purification-bpdfmi3n)</t>
  </si>
  <si>
    <t>orf1a</t>
  </si>
  <si>
    <t>33-hr flow-weighted composite</t>
  </si>
  <si>
    <t>ID</t>
  </si>
  <si>
    <t>Idaho</t>
  </si>
  <si>
    <t>innovaprep ultrafiltration</t>
  </si>
  <si>
    <t>qiagen qiaamp buffers with epoch columns</t>
  </si>
  <si>
    <t>ddcov_n </t>
  </si>
  <si>
    <t>32-hr flow-weighted composite</t>
  </si>
  <si>
    <t>IL</t>
  </si>
  <si>
    <t>Illinois</t>
  </si>
  <si>
    <t>no liquid concentration, liquid recombined with separated solids</t>
  </si>
  <si>
    <t>zymo quick-rna fungal/bacterial miniprep #r2014</t>
  </si>
  <si>
    <t>ddcov_e</t>
  </si>
  <si>
    <t>31-hr flow-weighted composite</t>
  </si>
  <si>
    <t>IN</t>
  </si>
  <si>
    <t>Indiana</t>
  </si>
  <si>
    <t>ceres nanotrap</t>
  </si>
  <si>
    <t>thermo magmax microbiome ultra nucleic acid isolation kit</t>
  </si>
  <si>
    <t>ip2 and ip4 combined</t>
  </si>
  <si>
    <t>30-hr flow-weighted composite</t>
  </si>
  <si>
    <t>IA</t>
  </si>
  <si>
    <t>Iowa</t>
  </si>
  <si>
    <t>zymo environ water rna kit/ zymo environ water rna kit (cat. r2042)</t>
  </si>
  <si>
    <t>CDC N1 (GT-Digital)</t>
  </si>
  <si>
    <t>29-hr flow-weighted composite</t>
  </si>
  <si>
    <t>KS</t>
  </si>
  <si>
    <t>Kansas</t>
  </si>
  <si>
    <t>membrane filtration with addition of mgcl3</t>
  </si>
  <si>
    <t>luminultra wastewater extraction kit</t>
  </si>
  <si>
    <t>CDC N2 (GT-Digital)</t>
  </si>
  <si>
    <t>28-hr flow-weighted composite</t>
  </si>
  <si>
    <t>KY</t>
  </si>
  <si>
    <t>Kentucky</t>
  </si>
  <si>
    <t>water concentrating buffer (R2042-1)</t>
  </si>
  <si>
    <t>qiaamp viral rna kit</t>
  </si>
  <si>
    <t>N2 (PREvalence)</t>
  </si>
  <si>
    <t>27-hr flow-weighted composite</t>
  </si>
  <si>
    <t>LA</t>
  </si>
  <si>
    <t>Louisiana</t>
  </si>
  <si>
    <t>none</t>
  </si>
  <si>
    <t>trizol and RNA purification kit</t>
  </si>
  <si>
    <t>E (PREvalence)</t>
  </si>
  <si>
    <t>26-hr flow-weighted composite</t>
  </si>
  <si>
    <t>ME</t>
  </si>
  <si>
    <t>Maine</t>
  </si>
  <si>
    <t>trizol, garnet bead beating, alcohol precipitation</t>
  </si>
  <si>
    <t>E9L​-NVAR</t>
  </si>
  <si>
    <t>hMPXV gene target. orthopoxvirus DNA polymerase. CDC Assay all hMPXV​ and non-variola Orthopoxvirus. https://doi.org/10.1016/j.jcv.2006.03.012</t>
  </si>
  <si>
    <t>25-hr flow-weighted composite</t>
  </si>
  <si>
    <t>MD</t>
  </si>
  <si>
    <t>Maryland</t>
  </si>
  <si>
    <t>zymo quick-rna viral 96 kit #r1041</t>
  </si>
  <si>
    <t>G2R_G​</t>
  </si>
  <si>
    <t>hMPXV gene target. G2R_G primers and probe: detects all MPXV strains ​. https://doi.org/10.1016/j.jviromet.2010.07.012​</t>
  </si>
  <si>
    <t>24-hr flow-weighted composite</t>
  </si>
  <si>
    <t>MA</t>
  </si>
  <si>
    <t>Massachusetts</t>
  </si>
  <si>
    <t>zymo quick-rna viral kit #r1035</t>
  </si>
  <si>
    <t>G2R_WA​</t>
  </si>
  <si>
    <t>hMPXV Clade II gene target. hMPXV G2R_WA primers and probe: detects Clade II viruses.CDC https://doi:10.1016/j.jviromet.2010.07.012​ </t>
  </si>
  <si>
    <t>23-hr flow-weighted composite</t>
  </si>
  <si>
    <t>MI</t>
  </si>
  <si>
    <t>Michigan</t>
  </si>
  <si>
    <t>qiagen qiaamp dsp viral rna mini kit</t>
  </si>
  <si>
    <t>C3L​</t>
  </si>
  <si>
    <t>hMPXV Clade I gene target. hMPXV C3L primers and probe: detects Clade I viruses ​. CDC https://doi:10.1016/j.jviromet.2010.07.012​ </t>
  </si>
  <si>
    <t>22-hr flow-weighted composite</t>
  </si>
  <si>
    <t>MN</t>
  </si>
  <si>
    <t>Minnesota</t>
  </si>
  <si>
    <t>monarch total RNA miniprep kit (new england biolabs) + onestep PCR inhibitor removal kit (zymo)</t>
  </si>
  <si>
    <t>B6R</t>
  </si>
  <si>
    <t>hMPXV gene target. Envelope protien gene CDC Assay; selective for MPXV. CDC https://doi.org/10.1016/j.jcv.2006.03.012</t>
  </si>
  <si>
    <t>21-hr flow-weighted composite</t>
  </si>
  <si>
    <t>MS</t>
  </si>
  <si>
    <t>Mississippi</t>
  </si>
  <si>
    <t>exclusions based sample preparation (ESP)</t>
  </si>
  <si>
    <t>gtmol_hMPXV</t>
  </si>
  <si>
    <t>hMPXV gene target. hMPXV gene target proprietary GT Molecular</t>
  </si>
  <si>
    <t>20-hr flow-weighted composite</t>
  </si>
  <si>
    <t>MO</t>
  </si>
  <si>
    <t>Missouri</t>
  </si>
  <si>
    <t>sciencell viral rna isolation kit</t>
  </si>
  <si>
    <t>InfA1</t>
  </si>
  <si>
    <t>THIS ENTRY SHOULD ONLY BE CHOSEN AFTER CONSULTATION WITH THE NWSS PROGRAM. THIS PRIMER SET IS INTENDED FOR USE TOGETHER WITH THE INFA2 PRIMER SET IN THE COMPLETE INFA ASSAY.   Influenza A 1 gene target. Source: https://www.cdc.gov/flu/php/laboratories/influenza-sars-cov-2-multiplex-assay.html</t>
  </si>
  <si>
    <t>19-hr flow-weighted composite</t>
  </si>
  <si>
    <t>MT</t>
  </si>
  <si>
    <t>Montana</t>
  </si>
  <si>
    <t>thermo magmax viral/pathogen nucleic acid isolation kit</t>
  </si>
  <si>
    <t>InfA2</t>
  </si>
  <si>
    <t>THIS ENTRY SHOULD ONLY BE CHOSEN AFTER CONSULTATION WITH THE NWSS PROGRAM. THIS PRIMER SET IS INTENDED FOR USE TOGETHER WITH THE INFA1 PRIMER SET IN THE COMPLETE INFA ASSAY.  Influenza A 2 gene target. Source: https://www.cdc.gov/flu/php/laboratories/influenza-sars-cov-2-multiplex-assay.html</t>
  </si>
  <si>
    <t>18-hr flow-weighted composite</t>
  </si>
  <si>
    <t>NE</t>
  </si>
  <si>
    <t>Nebraska</t>
  </si>
  <si>
    <t>nucleomag (ref. 744220.4) using kingfisher automated instrument</t>
  </si>
  <si>
    <t>InfA1 and InfA2 combined</t>
  </si>
  <si>
    <t>Influenza A gene target; Detection of InfA1 and InfA2 targets is performed in a single fluorescence channel, such that distinct measurements for InfA1 and InfA2 do not exist. Sources: Multiplex Real-Time Reverse Transcription PCR for Influenza A Virus, Influenza B Virus, and Severe Acute Respiratory Syndrome Coronavirus 2, https://wwwnc.cdc.gov/eid/article/27/7/21-0462_article; and Singleplex Digital PCR Testing of Influenza A, H1pdm09, H3, and H5 from Wastewater (Version 1) IFU for wastewater testing; Also includes commercial kits that use the CDC infA assay scheme, such as the GT-Digital Influenza and SARS-CoV-2 Wastewater Surveillance Multiplex Assay Kit for the QIAcuity™ Digital PCR System.</t>
  </si>
  <si>
    <t>17-hr flow-weighted composite</t>
  </si>
  <si>
    <t>NV</t>
  </si>
  <si>
    <t>Nevada</t>
  </si>
  <si>
    <t>dneasy powersoil pro kit</t>
  </si>
  <si>
    <t>RSV-A and RSV-B combined</t>
  </si>
  <si>
    <t xml:space="preserve">CDC validated RSV assay, including primer sets for both RSV-A and RSV-B viruses. Separate probes for RSV-A and RSV-B on a single fluorescence channel (note that distinct measurements for RSV-A and RSV-B do not exist). CDC IFU Source: Qiagen QIAcuity® Digital PCR (dPCR) Duplex Assay for Detection and Quantification of SARS-CoV-2 and Respiratory Syncytial Virus (RSV) in Wastewater </t>
  </si>
  <si>
    <t>16-hr flow-weighted composite</t>
  </si>
  <si>
    <t>NH</t>
  </si>
  <si>
    <t>New Hampshire</t>
  </si>
  <si>
    <t>BOMB.bio protocol</t>
  </si>
  <si>
    <t>INFA_H5 (Verily)</t>
  </si>
  <si>
    <t>Verily and WastewaterSCAN https://doi.org/10.1021/acs.estlett.4c00331</t>
  </si>
  <si>
    <t>15-hr flow-weighted composite</t>
  </si>
  <si>
    <t>NJ</t>
  </si>
  <si>
    <t>New Jersey</t>
  </si>
  <si>
    <t>INFA_H5 (CDC)</t>
  </si>
  <si>
    <t>CDC Human Influenza A H5 virus assay; Sources: CDC Human Influenza Virus Real-Time RT-PCR Diagnostic Panel (Influenza A/H5 Subtyping Kit) https://www.cdc.gov/flu/php/laboratories/nucleic-acid-detection.html; and Singleplex Digital PCR Testing of Influenza A, H1pdm09, H3, and H5 from Wastewater IFU for wastewater testing.</t>
  </si>
  <si>
    <t>14-hr flow-weighted composite</t>
  </si>
  <si>
    <t>NM</t>
  </si>
  <si>
    <t>New Mexico</t>
  </si>
  <si>
    <t>INFA_H5 (GT-Digital)</t>
  </si>
  <si>
    <t>GT-Molecular Influenza A H5 assay, for example: https://www.gtmolecular.com/product/gt-digital-h5-wastewater-surveillance-assay-kit-for-the-qiagen-qiacuity-digital-pcr-system-copy/.</t>
  </si>
  <si>
    <t>13-hr flow-weighted composite</t>
  </si>
  <si>
    <t>NY</t>
  </si>
  <si>
    <t>New York</t>
  </si>
  <si>
    <t>INFA_H5Nx (WHO)</t>
  </si>
  <si>
    <t>Protocol 2: Real-time RT-PCR for Influenza A(H5) HA gene https://cdn.who.int/media/docs/default-source/influenza/molecular-detention-of-influenza-viruses/protocols_influenza_virus_detection_feb_2021.pdf?sfvrsn=df7d268a_5</t>
  </si>
  <si>
    <t>12-hr flow-weighted composite</t>
  </si>
  <si>
    <t>NC</t>
  </si>
  <si>
    <t>North Carolina</t>
  </si>
  <si>
    <t>INFA_clade 2.3.4.4x (WHO)</t>
  </si>
  <si>
    <t>11-hr flow-weighted composite</t>
  </si>
  <si>
    <t>ND</t>
  </si>
  <si>
    <t>North Dakota</t>
  </si>
  <si>
    <t>E3L 393</t>
  </si>
  <si>
    <t>hMPXV Clade I gene target. Verily NWSS commercial contract mpox pan clade I</t>
  </si>
  <si>
    <t>10-hr flow-weighted composite</t>
  </si>
  <si>
    <t>OH</t>
  </si>
  <si>
    <t>Ohio</t>
  </si>
  <si>
    <t>dD14-16</t>
  </si>
  <si>
    <t>hMPXV Clade I gene target. https://doi.org/10.2807/1560-7917.ES.2024.29.32.2400486</t>
  </si>
  <si>
    <t>9-hr flow-weighted composite</t>
  </si>
  <si>
    <t>OK</t>
  </si>
  <si>
    <t>Oklahoma</t>
  </si>
  <si>
    <t>hMPXV_Clade_I OPG210 (GT-Digital)</t>
  </si>
  <si>
    <t>GT-Molecular Digital Mpox Clade I OPG210 assay, for example: https://www.gtmolecular.com/product/gt-digital-mpox-clade-i-opg210-rox-add-on-assay-qiacuity/; https://www.gtmolecular.com/product/gt-digital-mpox-clade-i-opg210-rox-add-on-assay-v1-0-for-the-bio-rad-qx600-digital-pcr-system-copy/</t>
  </si>
  <si>
    <t>8-hr flow-weighted composite</t>
  </si>
  <si>
    <t>OR</t>
  </si>
  <si>
    <t>Oregon</t>
  </si>
  <si>
    <t>INFA_H1pdm09 (CDC)</t>
  </si>
  <si>
    <t>Singleplex Digital PCR Testing of Influenza A, H1pdm09, H3, and H5 from Wastewater IFU for wastewater testing.</t>
  </si>
  <si>
    <t>7-hr flow-weighted composite</t>
  </si>
  <si>
    <t>PA</t>
  </si>
  <si>
    <t>Pennsylvania</t>
  </si>
  <si>
    <t>hMPXV_Clade_II (GT-Digital)</t>
  </si>
  <si>
    <t>GT-Molecular Digital Mpox Clade II assay, for example: https://www.gtmolecular.com/product/dpcr-nvompox-assay-kit-for-the-bio-rad-qx200-v1-1-beta/?_gl=1*1rzwjlf*_gcl_au*MjA5MzMzMTAzMi4xNzQ1NDI4MTA5*_ga*MTI4MjM1MDg0My4xNzQ1NDI4MTE5*_ga_N4HPZP2900*czE3NTI0OTg2MjkkbzE4JGcxJHQxNzUyNDk4Njc2JGoxMyRsMCRoMA..;  https://www.gtmolecular.com/product/gt-digital-nvompox-assay-kit-for-the-qiacuity-v1-1-beta/?_gl=1*11d4h9i*_gcl_au*MjA5MzMzMTAzMi4xNzQ1NDI4MTA5*_ga*MTI4MjM1MDg0My4xNzQ1NDI4MTE5*_ga_N4HPZP2900*czE3NTI0OTg2MjkkbzE4JGcxJHQxNzUyNDk4OTIyJGozMyRsMCRoMA..</t>
  </si>
  <si>
    <t>6-hr flow-weighted composite</t>
  </si>
  <si>
    <t>PR</t>
  </si>
  <si>
    <t>Puerto Rico</t>
  </si>
  <si>
    <t>RSV (Wadsworth)</t>
  </si>
  <si>
    <t>Respiratory Syncytial Virus matrix gene target. NYS Wadsworth Center modified from: https://journals.plos.org/plosone/article?id=10.1371/journal.pone.0015098</t>
  </si>
  <si>
    <t>5-hr flow-weighted composite</t>
  </si>
  <si>
    <t>MH</t>
  </si>
  <si>
    <t>Republic of the Marshall Islands</t>
  </si>
  <si>
    <t>INFA_H1pdm09 (Wadsworth)</t>
  </si>
  <si>
    <t xml:space="preserve">Influenza A H1pdm09 gene target. NYS Wadsworth Center unpublished. </t>
  </si>
  <si>
    <t>4-hr flow-weighted composite</t>
  </si>
  <si>
    <t>PW</t>
  </si>
  <si>
    <t>Republic of Palau</t>
  </si>
  <si>
    <t>MeV_M_Gene_WT1</t>
  </si>
  <si>
    <t>Measles virus M gene WT1 (wild type 1) assay probe and target. From https://pubs.acs.org/doi/10.1021/acs.est.4c05344</t>
  </si>
  <si>
    <t>3-hr flow-weighted composite</t>
  </si>
  <si>
    <t>RI</t>
  </si>
  <si>
    <t>Rhode Island</t>
  </si>
  <si>
    <t>MeV_M_Gene_WT2</t>
  </si>
  <si>
    <t>Measles virus M gene WT2 (wild type 2) assay probe and target. From https://pubs.acs.org/doi/10.1021/acs.est.4c05344</t>
  </si>
  <si>
    <t>2-hr flow-weighted composite</t>
  </si>
  <si>
    <t>SC</t>
  </si>
  <si>
    <t>South Carolina</t>
  </si>
  <si>
    <t>MeV_N_Gene_WT (WWScan)</t>
  </si>
  <si>
    <t>Measles virus N Gene WT (wild type) assay target. Modified from: https://pmc.ncbi.nlm.nih.gov/articles/PMC5328441/</t>
  </si>
  <si>
    <t>1-hr flow-weighted composite</t>
  </si>
  <si>
    <t>SD</t>
  </si>
  <si>
    <t>South Dakota</t>
  </si>
  <si>
    <t>MeV_WT (GT-Digital)</t>
  </si>
  <si>
    <t>GT-Molecular Digital MeV (meales virus) WT (wild type) assay, for example: https://www.gtmolecular.com/product/gt-digital-mev-wt-wastewater-surveillance-assay-v1-0-for-the-qiacuity-digital-pcr-system/</t>
  </si>
  <si>
    <t>96-hr time-weighted composite</t>
  </si>
  <si>
    <t>TN</t>
  </si>
  <si>
    <t>Tennessee</t>
  </si>
  <si>
    <t>MeV_M_Gene_WT_Combined</t>
  </si>
  <si>
    <t>Measles virus M gene WT1 (wild type 1) AND WT2 (wild type 2) assay target probes in the same detection channel. From https://pubs.acs.org/doi/10.1021/acs.est.4c05344</t>
  </si>
  <si>
    <t>72-hr time-weighted composite</t>
  </si>
  <si>
    <t>TX</t>
  </si>
  <si>
    <t>Texas</t>
  </si>
  <si>
    <t>48-hr time-weighted composite</t>
  </si>
  <si>
    <t>VI</t>
  </si>
  <si>
    <t>U.S. Virgin Islands</t>
  </si>
  <si>
    <t>47-hr time-weighted composite</t>
  </si>
  <si>
    <t>UT</t>
  </si>
  <si>
    <t>Utah</t>
  </si>
  <si>
    <t>46-hr time-weighted composite</t>
  </si>
  <si>
    <t>VT</t>
  </si>
  <si>
    <t>Vermont</t>
  </si>
  <si>
    <t>45-hr time-weighted composite</t>
  </si>
  <si>
    <t>VA</t>
  </si>
  <si>
    <t>Virginia</t>
  </si>
  <si>
    <t>44-hr time-weighted composite</t>
  </si>
  <si>
    <t>WA</t>
  </si>
  <si>
    <t>Washington</t>
  </si>
  <si>
    <t>43-hr time-weighted composite</t>
  </si>
  <si>
    <t>WV</t>
  </si>
  <si>
    <t>West Virginia</t>
  </si>
  <si>
    <t>42-hr time-weighted composite</t>
  </si>
  <si>
    <t>WI</t>
  </si>
  <si>
    <t>Wisconsin</t>
  </si>
  <si>
    <t>41-hr time-weighted composite</t>
  </si>
  <si>
    <t>WY</t>
  </si>
  <si>
    <t>Wyoming</t>
  </si>
  <si>
    <t>40-hr time-weighted composite</t>
  </si>
  <si>
    <t>39-hr time-weighted composite</t>
  </si>
  <si>
    <t>38-hr time-weighted composite</t>
  </si>
  <si>
    <t>37-hr time-weighted composite</t>
  </si>
  <si>
    <t>36-hr time-weighted composite</t>
  </si>
  <si>
    <t>35-hr time-weighted composite</t>
  </si>
  <si>
    <t>34-hr time-weighted composite</t>
  </si>
  <si>
    <t>33-hr time-weighted composite</t>
  </si>
  <si>
    <t>32-hr time-weighted composite</t>
  </si>
  <si>
    <t>31-hr time-weighted composite</t>
  </si>
  <si>
    <t>30-hr time-weighted composite</t>
  </si>
  <si>
    <t>29-hr time-weighted composite</t>
  </si>
  <si>
    <t>28-hr time-weighted composite</t>
  </si>
  <si>
    <t>27-hr time-weighted composite</t>
  </si>
  <si>
    <t>26-hr time-weighted composite</t>
  </si>
  <si>
    <t>25-hr time-weighted composite</t>
  </si>
  <si>
    <t>24-hr time-weighted composite</t>
  </si>
  <si>
    <t>23-hr time-weighted composite</t>
  </si>
  <si>
    <t>22-hr time-weighted composite</t>
  </si>
  <si>
    <t>21-hr time-weighted composite</t>
  </si>
  <si>
    <t>20-hr time-weighted composite</t>
  </si>
  <si>
    <t>19-hr time-weighted composite</t>
  </si>
  <si>
    <t>18-hr time-weighted composite</t>
  </si>
  <si>
    <t>17-hr time-weighted composite</t>
  </si>
  <si>
    <t>16-hr time-weighted composite</t>
  </si>
  <si>
    <t>15-hr time-weighted composite</t>
  </si>
  <si>
    <t>14-hr time-weighted composite</t>
  </si>
  <si>
    <t>13-hr time-weighted composite</t>
  </si>
  <si>
    <t>12-hr time-weighted composite</t>
  </si>
  <si>
    <t>11-hr time-weighted composite</t>
  </si>
  <si>
    <t>10-hr time-weighted composite</t>
  </si>
  <si>
    <t>9-hr time-weighted composite</t>
  </si>
  <si>
    <t>8-hr time-weighted composite</t>
  </si>
  <si>
    <t>7-hr time-weighted composite</t>
  </si>
  <si>
    <t>6-hr time-weighted composite</t>
  </si>
  <si>
    <t>5-hr time-weighted composite</t>
  </si>
  <si>
    <t>4-hr time-weighted composite</t>
  </si>
  <si>
    <t>3-hr time-weighted composite</t>
  </si>
  <si>
    <t>2-hr time-weighted composite</t>
  </si>
  <si>
    <t>1-hr time-weighted composite</t>
  </si>
  <si>
    <t>96-hr manual composite</t>
  </si>
  <si>
    <t>48-hr manual composite</t>
  </si>
  <si>
    <t>47-hr manual composite</t>
  </si>
  <si>
    <t>46-hr manual composite</t>
  </si>
  <si>
    <t>45-hr manual composite</t>
  </si>
  <si>
    <t>44-hr manual composite</t>
  </si>
  <si>
    <t>43-hr manual composite</t>
  </si>
  <si>
    <t>42-hr manual composite</t>
  </si>
  <si>
    <t>41-hr manual composite</t>
  </si>
  <si>
    <t>40-hr manual composite</t>
  </si>
  <si>
    <t>39-hr manual composite</t>
  </si>
  <si>
    <t>38-hr manual composite</t>
  </si>
  <si>
    <t>37-hr manual composite</t>
  </si>
  <si>
    <t>36-hr manual composite</t>
  </si>
  <si>
    <t>35-hr manual composite</t>
  </si>
  <si>
    <t>34-hr manual composite</t>
  </si>
  <si>
    <t>33-hr manual composite</t>
  </si>
  <si>
    <t>32-hr manual composite</t>
  </si>
  <si>
    <t>31-hr manual composite</t>
  </si>
  <si>
    <t>30-hr manual composite</t>
  </si>
  <si>
    <t>29-hr manual composite</t>
  </si>
  <si>
    <t>28-hr manual composite</t>
  </si>
  <si>
    <t>27-hr manual composite</t>
  </si>
  <si>
    <t>26-hr manual composite</t>
  </si>
  <si>
    <t>25-hr manual composite</t>
  </si>
  <si>
    <t>24-hr manual composite</t>
  </si>
  <si>
    <t>23-hr manual composite</t>
  </si>
  <si>
    <t>22-hr manual composite</t>
  </si>
  <si>
    <t>21-hr manual composite</t>
  </si>
  <si>
    <t>20-hr manual composite</t>
  </si>
  <si>
    <t>19-hr manual composite</t>
  </si>
  <si>
    <t>18-hr manual composite</t>
  </si>
  <si>
    <t>17-hr manual composite</t>
  </si>
  <si>
    <t>16-hr manual composite</t>
  </si>
  <si>
    <t>15-hr manual composite</t>
  </si>
  <si>
    <t>14-hr manual composite</t>
  </si>
  <si>
    <t>13-hr manual composite</t>
  </si>
  <si>
    <t>12-hr manual composite</t>
  </si>
  <si>
    <t>11-hr manual composite</t>
  </si>
  <si>
    <t>10-hr manual composite</t>
  </si>
  <si>
    <t>9-hr manual composite</t>
  </si>
  <si>
    <t>8-hr manual composite</t>
  </si>
  <si>
    <t>7-hr manual composite</t>
  </si>
  <si>
    <t>6-hr manual composite</t>
  </si>
  <si>
    <t>5-hr manual composite</t>
  </si>
  <si>
    <t>4-hr manual composite</t>
  </si>
  <si>
    <t>3-hr manual composite</t>
  </si>
  <si>
    <t>2-hr manual composite</t>
  </si>
  <si>
    <t>1-hr manual composite</t>
  </si>
  <si>
    <t>72-hr passive sample</t>
  </si>
  <si>
    <t>E.g., Moore swabs</t>
  </si>
  <si>
    <t>48-hr passive sample</t>
  </si>
  <si>
    <t>47-hr passive sample</t>
  </si>
  <si>
    <t>46-hr passive sample</t>
  </si>
  <si>
    <t>45-hr passive sample</t>
  </si>
  <si>
    <t>44-hr passive sample</t>
  </si>
  <si>
    <t>43-hr passive sample</t>
  </si>
  <si>
    <t>42-hr passive sample</t>
  </si>
  <si>
    <t>41-hr passive sample</t>
  </si>
  <si>
    <t>40-hr passive sample</t>
  </si>
  <si>
    <t>39-hr passive sample</t>
  </si>
  <si>
    <t>38-hr passive sample</t>
  </si>
  <si>
    <t>37-hr passive sample</t>
  </si>
  <si>
    <t>36-hr passive sample</t>
  </si>
  <si>
    <t>35-hr passive sample</t>
  </si>
  <si>
    <t>34-hr passive sample</t>
  </si>
  <si>
    <t>33-hr passive sample</t>
  </si>
  <si>
    <t>32-hr passive sample</t>
  </si>
  <si>
    <t>31-hr passive sample</t>
  </si>
  <si>
    <t>30-hr passive sample</t>
  </si>
  <si>
    <t>29-hr passive sample</t>
  </si>
  <si>
    <t>28-hr passive sample</t>
  </si>
  <si>
    <t>27-hr passive sample</t>
  </si>
  <si>
    <t>26-hr passive sample</t>
  </si>
  <si>
    <t>25-hr passive sample</t>
  </si>
  <si>
    <t>24-hr passive sample</t>
  </si>
  <si>
    <t>23-hr passive sample</t>
  </si>
  <si>
    <t>22-hr passive sample</t>
  </si>
  <si>
    <t>21-hr passive sample</t>
  </si>
  <si>
    <t>20-hr passive sample</t>
  </si>
  <si>
    <t>19-hr passive sample</t>
  </si>
  <si>
    <t>18-hr passive sample</t>
  </si>
  <si>
    <t>17-hr passive sample</t>
  </si>
  <si>
    <t>16-hr passive sample</t>
  </si>
  <si>
    <t>15-hr passive sample</t>
  </si>
  <si>
    <t>14-hr passive sample</t>
  </si>
  <si>
    <t>13-hr passive sample</t>
  </si>
  <si>
    <t>12-hr passive sample</t>
  </si>
  <si>
    <t>11-hr passive sample</t>
  </si>
  <si>
    <t>10-hr passive sample</t>
  </si>
  <si>
    <t>9-hr passive sample</t>
  </si>
  <si>
    <t>8-hr passive sample</t>
  </si>
  <si>
    <t>7-hr passive sample</t>
  </si>
  <si>
    <t>6-hr passive sample</t>
  </si>
  <si>
    <t>5-hr passive sample</t>
  </si>
  <si>
    <t>4-hr passive sample</t>
  </si>
  <si>
    <t>3-hr passive sample</t>
  </si>
  <si>
    <t>2-hr passive sample</t>
  </si>
  <si>
    <t>1-hr passive sample</t>
  </si>
  <si>
    <t>120-hr passive sample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</si>
</sst>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rgb="FF000000"/>
      <name val="Calibri"/>
      <family val="2"/>
    </font>
    <font>
      <sz val="11"/>
      <color rgb="FF000000"/>
      <name val="Calibri"/>
      <family val="2"/>
      <scheme val="minor"/>
    </font>
    <font>
      <sz val="11"/>
      <name val="Calibri"/>
      <family val="2"/>
      <scheme val="minor"/>
    </font>
    <font>
      <sz val="11"/>
      <name val="Calibri"/>
      <family val="2"/>
    </font>
    <font>
      <u/>
      <sz val="11"/>
      <color theme="10"/>
      <name val="Calibri"/>
      <family val="2"/>
      <scheme val="minor"/>
    </font>
    <font>
      <sz val="11"/>
      <color theme="0"/>
      <name val="Calibri"/>
      <family val="2"/>
      <scheme val="minor"/>
    </font>
    <font>
      <b/>
      <sz val="11"/>
      <name val="Calibri"/>
      <family val="2"/>
      <scheme val="minor"/>
    </font>
    <font>
      <sz val="11"/>
      <color theme="1"/>
      <name val="Calibri"/>
      <family val="2"/>
    </font>
    <font>
      <b/>
      <sz val="11"/>
      <color theme="0"/>
      <name val="Calibri"/>
      <family val="2"/>
      <scheme val="minor"/>
    </font>
    <font>
      <sz val="11"/>
      <color rgb="FF242424"/>
      <name val="Calibri"/>
      <family val="2"/>
      <scheme val="minor"/>
    </font>
    <font>
      <sz val="11"/>
      <color rgb="FFFF0000"/>
      <name val="Calibri"/>
      <family val="2"/>
    </font>
    <font>
      <u/>
      <sz val="11"/>
      <name val="Calibri"/>
      <family val="2"/>
      <scheme val="minor"/>
    </font>
    <font>
      <sz val="11"/>
      <color theme="1"/>
      <name val="Calibri"/>
      <family val="2"/>
      <charset val="1"/>
    </font>
    <font>
      <b/>
      <sz val="14"/>
      <color theme="1"/>
      <name val="Calibri"/>
      <family val="2"/>
      <scheme val="minor"/>
    </font>
    <font>
      <sz val="11"/>
      <color rgb="FF242424"/>
      <name val="Calibri"/>
      <family val="2"/>
    </font>
  </fonts>
  <fills count="9">
    <fill>
      <patternFill patternType="none"/>
    </fill>
    <fill>
      <patternFill patternType="gray125"/>
    </fill>
    <fill>
      <patternFill patternType="solid">
        <fgColor theme="2" tint="-0.499984740745262"/>
        <bgColor indexed="64"/>
      </patternFill>
    </fill>
    <fill>
      <patternFill patternType="solid">
        <fgColor theme="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rgb="FFD9E1F2"/>
        <bgColor indexed="64"/>
      </patternFill>
    </fill>
    <fill>
      <patternFill patternType="solid">
        <fgColor theme="5" tint="0.39997558519241921"/>
        <bgColor indexed="64"/>
      </patternFill>
    </fill>
  </fills>
  <borders count="2">
    <border>
      <left/>
      <right/>
      <top/>
      <bottom/>
      <diagonal/>
    </border>
    <border>
      <left/>
      <right/>
      <top/>
      <bottom style="thin">
        <color indexed="64"/>
      </bottom>
      <diagonal/>
    </border>
  </borders>
  <cellStyleXfs count="2">
    <xf numFmtId="0" fontId="0" fillId="0" borderId="0"/>
    <xf numFmtId="0" fontId="8" fillId="0" borderId="0" applyNumberFormat="0" applyFill="0" applyBorder="0" applyAlignment="0" applyProtection="0"/>
  </cellStyleXfs>
  <cellXfs count="58">
    <xf numFmtId="0" fontId="0" fillId="0" borderId="0" xfId="0"/>
    <xf numFmtId="0" fontId="0" fillId="0" borderId="0" xfId="0" applyAlignment="1">
      <alignment horizontal="left" vertical="top" wrapText="1"/>
    </xf>
    <xf numFmtId="0" fontId="0" fillId="0" borderId="0" xfId="0" applyAlignment="1">
      <alignment horizontal="left" vertical="top"/>
    </xf>
    <xf numFmtId="0" fontId="4" fillId="0" borderId="0" xfId="0" applyFont="1" applyAlignment="1">
      <alignment horizontal="left" vertical="top" wrapText="1"/>
    </xf>
    <xf numFmtId="0" fontId="6" fillId="0" borderId="0" xfId="0" applyFont="1" applyAlignment="1">
      <alignment horizontal="left" vertical="top" wrapText="1"/>
    </xf>
    <xf numFmtId="0" fontId="5" fillId="0" borderId="0" xfId="0" applyFont="1" applyAlignment="1">
      <alignment horizontal="left" vertical="top" wrapText="1"/>
    </xf>
    <xf numFmtId="0" fontId="7" fillId="0" borderId="0" xfId="0" applyFont="1" applyAlignment="1">
      <alignment horizontal="left" vertical="top" wrapText="1"/>
    </xf>
    <xf numFmtId="0" fontId="0" fillId="2" borderId="0" xfId="0" applyFill="1" applyAlignment="1">
      <alignment horizontal="left" vertical="top" wrapText="1"/>
    </xf>
    <xf numFmtId="0" fontId="0" fillId="3" borderId="0" xfId="0" applyFill="1" applyAlignment="1">
      <alignment horizontal="left" vertical="top" wrapText="1"/>
    </xf>
    <xf numFmtId="0" fontId="2" fillId="3" borderId="0" xfId="0" applyFont="1" applyFill="1" applyAlignment="1">
      <alignment horizontal="left" vertical="top" wrapText="1"/>
    </xf>
    <xf numFmtId="0" fontId="6" fillId="3" borderId="0" xfId="0" applyFont="1" applyFill="1" applyAlignment="1">
      <alignment horizontal="left" vertical="top" wrapText="1"/>
    </xf>
    <xf numFmtId="0" fontId="2" fillId="0" borderId="0" xfId="0" applyFont="1" applyAlignment="1">
      <alignment horizontal="left" vertical="top" wrapText="1"/>
    </xf>
    <xf numFmtId="0" fontId="8" fillId="0" borderId="0" xfId="1" applyAlignment="1">
      <alignment horizontal="left" vertical="top" wrapText="1"/>
    </xf>
    <xf numFmtId="0" fontId="8" fillId="0" borderId="0" xfId="1" applyFill="1" applyAlignment="1">
      <alignment horizontal="left" vertical="top" wrapText="1"/>
    </xf>
    <xf numFmtId="0" fontId="0" fillId="4" borderId="0" xfId="0" applyFill="1" applyAlignment="1">
      <alignment horizontal="left" vertical="top" wrapText="1"/>
    </xf>
    <xf numFmtId="0" fontId="6" fillId="5" borderId="0" xfId="0" applyFont="1" applyFill="1" applyAlignment="1">
      <alignment horizontal="left" vertical="top" wrapText="1"/>
    </xf>
    <xf numFmtId="0" fontId="0" fillId="5" borderId="0" xfId="0" applyFill="1" applyAlignment="1">
      <alignment horizontal="left" vertical="top" wrapText="1"/>
    </xf>
    <xf numFmtId="0" fontId="0" fillId="6" borderId="0" xfId="0" applyFill="1" applyAlignment="1">
      <alignment horizontal="left" vertical="top" wrapText="1"/>
    </xf>
    <xf numFmtId="0" fontId="6" fillId="6" borderId="0" xfId="0" applyFont="1" applyFill="1" applyAlignment="1">
      <alignment horizontal="left" vertical="top" wrapText="1"/>
    </xf>
    <xf numFmtId="0" fontId="6" fillId="0" borderId="0" xfId="0" applyFont="1" applyAlignment="1">
      <alignment horizontal="left" vertical="top"/>
    </xf>
    <xf numFmtId="0" fontId="3" fillId="0" borderId="0" xfId="0" applyFont="1" applyAlignment="1">
      <alignment horizontal="left" vertical="top" wrapText="1"/>
    </xf>
    <xf numFmtId="0" fontId="0" fillId="3" borderId="0" xfId="0" applyFill="1" applyAlignment="1">
      <alignment horizontal="left" vertical="top"/>
    </xf>
    <xf numFmtId="0" fontId="9" fillId="2" borderId="0" xfId="0" applyFont="1" applyFill="1" applyAlignment="1">
      <alignment horizontal="left" vertical="top"/>
    </xf>
    <xf numFmtId="0" fontId="12" fillId="2" borderId="0" xfId="0" applyFont="1" applyFill="1" applyAlignment="1">
      <alignment horizontal="left" vertical="top" wrapText="1"/>
    </xf>
    <xf numFmtId="0" fontId="3" fillId="3" borderId="0" xfId="0" applyFont="1" applyFill="1" applyAlignment="1">
      <alignment horizontal="left" vertical="top" wrapText="1"/>
    </xf>
    <xf numFmtId="0" fontId="9" fillId="3" borderId="0" xfId="0" applyFont="1" applyFill="1" applyAlignment="1">
      <alignment horizontal="left" vertical="top"/>
    </xf>
    <xf numFmtId="0" fontId="10" fillId="0" borderId="0" xfId="0" applyFont="1" applyAlignment="1">
      <alignment horizontal="left" vertical="top" wrapText="1"/>
    </xf>
    <xf numFmtId="0" fontId="6" fillId="0" borderId="0" xfId="0" applyFont="1" applyAlignment="1">
      <alignment horizontal="left"/>
    </xf>
    <xf numFmtId="0" fontId="10" fillId="0" borderId="0" xfId="0" applyFont="1" applyAlignment="1">
      <alignment horizontal="left"/>
    </xf>
    <xf numFmtId="0" fontId="6" fillId="0" borderId="1" xfId="0" applyFont="1" applyBorder="1" applyAlignment="1">
      <alignment horizontal="left"/>
    </xf>
    <xf numFmtId="0" fontId="6" fillId="0" borderId="0" xfId="0" applyFont="1" applyAlignment="1">
      <alignment vertical="top"/>
    </xf>
    <xf numFmtId="0" fontId="5" fillId="0" borderId="0" xfId="0" applyFont="1"/>
    <xf numFmtId="0" fontId="0" fillId="0" borderId="0" xfId="0" applyAlignment="1">
      <alignment vertical="center"/>
    </xf>
    <xf numFmtId="0" fontId="7" fillId="0" borderId="0" xfId="0" applyFont="1" applyAlignment="1">
      <alignment vertical="center"/>
    </xf>
    <xf numFmtId="0" fontId="6" fillId="0" borderId="0" xfId="0" quotePrefix="1" applyFont="1" applyAlignment="1">
      <alignment horizontal="left"/>
    </xf>
    <xf numFmtId="0" fontId="13" fillId="0" borderId="0" xfId="0" applyFont="1"/>
    <xf numFmtId="0" fontId="14" fillId="0" borderId="0" xfId="0" applyFont="1" applyAlignment="1">
      <alignment horizontal="left" vertical="top" wrapText="1"/>
    </xf>
    <xf numFmtId="0" fontId="11" fillId="0" borderId="0" xfId="0" applyFont="1" applyAlignment="1">
      <alignment horizontal="left" vertical="top" wrapText="1"/>
    </xf>
    <xf numFmtId="0" fontId="15" fillId="0" borderId="0" xfId="1" applyFont="1" applyFill="1" applyAlignment="1">
      <alignment horizontal="left" vertical="top" wrapText="1"/>
    </xf>
    <xf numFmtId="0" fontId="6" fillId="0" borderId="0" xfId="0" applyFont="1"/>
    <xf numFmtId="0" fontId="16" fillId="0" borderId="0" xfId="0" applyFont="1"/>
    <xf numFmtId="0" fontId="6" fillId="0" borderId="0" xfId="0" applyFont="1" applyAlignment="1">
      <alignment wrapText="1"/>
    </xf>
    <xf numFmtId="0" fontId="6" fillId="0" borderId="1" xfId="0" applyFont="1" applyBorder="1" applyAlignment="1">
      <alignment horizontal="left" vertical="top"/>
    </xf>
    <xf numFmtId="0" fontId="6" fillId="7" borderId="0" xfId="0" applyFont="1" applyFill="1" applyAlignment="1">
      <alignment vertical="top"/>
    </xf>
    <xf numFmtId="0" fontId="1" fillId="0" borderId="0" xfId="0" applyFont="1"/>
    <xf numFmtId="0" fontId="0" fillId="0" borderId="0" xfId="0" applyAlignment="1">
      <alignment vertical="top"/>
    </xf>
    <xf numFmtId="0" fontId="6" fillId="0" borderId="0" xfId="0" applyFont="1" applyAlignment="1">
      <alignment horizontal="left" wrapText="1"/>
    </xf>
    <xf numFmtId="0" fontId="17" fillId="0" borderId="0" xfId="0" applyFont="1" applyAlignment="1">
      <alignment horizontal="left" vertical="top" wrapText="1"/>
    </xf>
    <xf numFmtId="0" fontId="0" fillId="8" borderId="0" xfId="0" applyFill="1" applyAlignment="1">
      <alignment horizontal="left" vertical="top" wrapText="1"/>
    </xf>
    <xf numFmtId="0" fontId="18" fillId="0" borderId="0" xfId="0" applyFont="1"/>
    <xf numFmtId="0" fontId="6" fillId="0" borderId="0" xfId="0" applyFont="1" applyAlignment="1">
      <alignment vertical="center" wrapText="1"/>
    </xf>
    <xf numFmtId="15" fontId="0" fillId="0" borderId="0" xfId="0" applyNumberFormat="1" applyAlignment="1">
      <alignment horizontal="left" vertical="top"/>
    </xf>
    <xf numFmtId="0" fontId="5" fillId="8" borderId="0" xfId="1" applyFont="1" applyFill="1" applyAlignment="1">
      <alignment horizontal="left" vertical="top" wrapText="1"/>
    </xf>
    <xf numFmtId="0" fontId="5" fillId="0" borderId="0" xfId="1" applyFont="1" applyFill="1" applyAlignment="1">
      <alignment horizontal="left" vertical="top" wrapText="1"/>
    </xf>
    <xf numFmtId="0" fontId="0" fillId="0" borderId="0" xfId="0" applyAlignment="1">
      <alignment horizontal="left" vertical="top"/>
    </xf>
    <xf numFmtId="0" fontId="6" fillId="0" borderId="0" xfId="0" applyFont="1" applyAlignment="1">
      <alignment horizontal="left" vertical="top" wrapText="1"/>
    </xf>
    <xf numFmtId="0" fontId="0" fillId="0" borderId="0" xfId="0" applyAlignment="1">
      <alignment horizontal="left" vertical="top" wrapText="1"/>
    </xf>
    <xf numFmtId="0" fontId="5" fillId="0" borderId="0" xfId="0" applyFont="1" applyAlignment="1">
      <alignment horizontal="left" vertical="top"/>
    </xf>
  </cellXfs>
  <cellStyles count="2">
    <cellStyle name="Hyperlink" xfId="1" builtinId="8"/>
    <cellStyle name="Normal" xfId="0" builtinId="0"/>
  </cellStyles>
  <dxfs count="0"/>
  <tableStyles count="0" defaultTableStyle="TableStyleMedium2" defaultPivotStyle="PivotStyleLight16"/>
  <colors>
    <mruColors>
      <color rgb="FFF2CEEF"/>
      <color rgb="FFDDEBF7"/>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1F7BD-824C-41B7-A223-F6347D82F347}">
  <dimension ref="A2:P30"/>
  <sheetViews>
    <sheetView topLeftCell="A23" workbookViewId="0">
      <selection activeCell="I35" sqref="I35"/>
    </sheetView>
  </sheetViews>
  <sheetFormatPr defaultColWidth="8.54296875" defaultRowHeight="14.5" x14ac:dyDescent="0.35"/>
  <cols>
    <col min="1" max="1" width="32.81640625" style="1" customWidth="1"/>
    <col min="2" max="2" width="22.453125" style="2" customWidth="1"/>
    <col min="3" max="3" width="25" style="2" customWidth="1"/>
    <col min="4" max="16384" width="8.54296875" style="2"/>
  </cols>
  <sheetData>
    <row r="2" spans="1:16" ht="55.5" x14ac:dyDescent="0.35">
      <c r="A2" s="47" t="s">
        <v>0</v>
      </c>
    </row>
    <row r="4" spans="1:16" x14ac:dyDescent="0.35">
      <c r="A4" s="23" t="s">
        <v>1</v>
      </c>
      <c r="B4" s="22"/>
      <c r="C4" s="22"/>
      <c r="D4" s="22"/>
      <c r="E4" s="22"/>
      <c r="F4" s="22"/>
      <c r="G4" s="22"/>
      <c r="H4" s="22"/>
      <c r="I4" s="22"/>
      <c r="J4" s="22"/>
      <c r="K4" s="22"/>
      <c r="L4" s="22"/>
      <c r="M4" s="22"/>
      <c r="N4" s="22"/>
      <c r="O4" s="22"/>
      <c r="P4" s="22"/>
    </row>
    <row r="5" spans="1:16" ht="30.65" customHeight="1" x14ac:dyDescent="0.35">
      <c r="A5" s="20" t="s">
        <v>2</v>
      </c>
      <c r="B5" s="56" t="s">
        <v>3</v>
      </c>
      <c r="C5" s="56"/>
      <c r="D5" s="56"/>
      <c r="E5" s="56"/>
      <c r="F5" s="56"/>
      <c r="G5" s="56"/>
      <c r="H5" s="56"/>
      <c r="I5" s="56"/>
      <c r="J5" s="56"/>
      <c r="K5" s="56"/>
      <c r="L5" s="56"/>
      <c r="M5" s="56"/>
      <c r="N5" s="56"/>
      <c r="O5" s="56"/>
      <c r="P5" s="56"/>
    </row>
    <row r="6" spans="1:16" ht="29.15" customHeight="1" x14ac:dyDescent="0.35">
      <c r="A6" s="20" t="s">
        <v>4</v>
      </c>
      <c r="B6" s="56" t="s">
        <v>5</v>
      </c>
      <c r="C6" s="56"/>
      <c r="D6" s="56"/>
      <c r="E6" s="56"/>
      <c r="F6" s="56"/>
      <c r="G6" s="56"/>
      <c r="H6" s="56"/>
      <c r="I6" s="56"/>
      <c r="J6" s="56"/>
      <c r="K6" s="56"/>
      <c r="L6" s="56"/>
      <c r="M6" s="56"/>
      <c r="N6" s="56"/>
      <c r="O6" s="56"/>
      <c r="P6" s="56"/>
    </row>
    <row r="7" spans="1:16" x14ac:dyDescent="0.35">
      <c r="A7" s="24"/>
      <c r="B7" s="8"/>
      <c r="C7" s="8"/>
      <c r="D7" s="8"/>
      <c r="E7" s="8"/>
      <c r="F7" s="8"/>
      <c r="G7" s="8"/>
      <c r="H7" s="8"/>
      <c r="I7" s="8"/>
      <c r="J7" s="8"/>
      <c r="K7" s="8"/>
      <c r="L7" s="8"/>
      <c r="M7" s="8"/>
      <c r="N7" s="8"/>
      <c r="O7" s="8"/>
      <c r="P7" s="8"/>
    </row>
    <row r="8" spans="1:16" x14ac:dyDescent="0.35">
      <c r="A8" s="23" t="s">
        <v>6</v>
      </c>
      <c r="B8" s="7"/>
      <c r="C8" s="7"/>
      <c r="D8" s="7"/>
      <c r="E8" s="7"/>
      <c r="F8" s="7"/>
      <c r="G8" s="7"/>
      <c r="H8" s="7"/>
      <c r="I8" s="7"/>
      <c r="J8" s="7"/>
      <c r="K8" s="7"/>
      <c r="L8" s="7"/>
      <c r="M8" s="7"/>
      <c r="N8" s="7"/>
      <c r="O8" s="7"/>
      <c r="P8" s="7"/>
    </row>
    <row r="9" spans="1:16" ht="29.15" customHeight="1" x14ac:dyDescent="0.35">
      <c r="A9" s="20" t="s">
        <v>7</v>
      </c>
      <c r="B9" s="56" t="s">
        <v>8</v>
      </c>
      <c r="C9" s="56"/>
      <c r="D9" s="56"/>
      <c r="E9" s="56"/>
      <c r="F9" s="56"/>
      <c r="G9" s="56"/>
      <c r="H9" s="56"/>
      <c r="I9" s="56"/>
      <c r="J9" s="56"/>
      <c r="K9" s="56"/>
      <c r="L9" s="56"/>
      <c r="M9" s="56"/>
      <c r="N9" s="56"/>
      <c r="O9" s="56"/>
      <c r="P9" s="56"/>
    </row>
    <row r="10" spans="1:16" x14ac:dyDescent="0.35">
      <c r="A10" s="20" t="s">
        <v>9</v>
      </c>
      <c r="B10" s="56" t="s">
        <v>10</v>
      </c>
      <c r="C10" s="56"/>
      <c r="D10" s="56"/>
      <c r="E10" s="56"/>
      <c r="F10" s="56"/>
      <c r="G10" s="56"/>
      <c r="H10" s="56"/>
      <c r="I10" s="56"/>
      <c r="J10" s="56"/>
      <c r="K10" s="56"/>
      <c r="L10" s="56"/>
      <c r="M10" s="56"/>
      <c r="N10" s="56"/>
      <c r="O10" s="56"/>
      <c r="P10" s="56"/>
    </row>
    <row r="11" spans="1:16" x14ac:dyDescent="0.35">
      <c r="A11" s="8"/>
      <c r="B11" s="21"/>
      <c r="C11" s="21"/>
      <c r="D11" s="21"/>
      <c r="E11" s="21"/>
      <c r="F11" s="21"/>
      <c r="G11" s="21"/>
      <c r="H11" s="21"/>
      <c r="I11" s="21"/>
      <c r="J11" s="21"/>
      <c r="K11" s="21"/>
      <c r="L11" s="21"/>
      <c r="M11" s="21"/>
      <c r="N11" s="21"/>
      <c r="O11" s="21"/>
      <c r="P11" s="21"/>
    </row>
    <row r="12" spans="1:16" x14ac:dyDescent="0.35">
      <c r="A12" s="23" t="s">
        <v>11</v>
      </c>
      <c r="B12" s="22"/>
      <c r="C12" s="22"/>
      <c r="D12" s="22"/>
      <c r="E12" s="22"/>
      <c r="F12" s="22"/>
      <c r="G12" s="22"/>
      <c r="H12" s="22"/>
      <c r="I12" s="22"/>
      <c r="J12" s="22"/>
      <c r="K12" s="22"/>
      <c r="L12" s="22"/>
      <c r="M12" s="22"/>
      <c r="N12" s="22"/>
      <c r="O12" s="22"/>
      <c r="P12" s="22"/>
    </row>
    <row r="13" spans="1:16" x14ac:dyDescent="0.35">
      <c r="A13" s="20" t="s">
        <v>12</v>
      </c>
      <c r="B13" s="57" t="s">
        <v>13</v>
      </c>
      <c r="C13" s="57"/>
      <c r="D13" s="57"/>
      <c r="E13" s="57"/>
      <c r="F13" s="57"/>
      <c r="G13" s="57"/>
      <c r="H13" s="57"/>
      <c r="I13" s="57"/>
      <c r="J13" s="57"/>
      <c r="K13" s="57"/>
      <c r="L13" s="57"/>
      <c r="M13" s="57"/>
      <c r="N13" s="57"/>
      <c r="O13" s="57"/>
      <c r="P13" s="57"/>
    </row>
    <row r="14" spans="1:16" x14ac:dyDescent="0.35">
      <c r="A14" s="20" t="s">
        <v>14</v>
      </c>
      <c r="B14" s="54" t="s">
        <v>15</v>
      </c>
      <c r="C14" s="54"/>
      <c r="D14" s="54"/>
      <c r="E14" s="54"/>
      <c r="F14" s="54"/>
      <c r="G14" s="54"/>
      <c r="H14" s="54"/>
      <c r="I14" s="54"/>
      <c r="J14" s="54"/>
      <c r="K14" s="54"/>
      <c r="L14" s="54"/>
      <c r="M14" s="54"/>
      <c r="N14" s="54"/>
      <c r="O14" s="54"/>
      <c r="P14" s="54"/>
    </row>
    <row r="15" spans="1:16" x14ac:dyDescent="0.35">
      <c r="A15" s="20" t="s">
        <v>16</v>
      </c>
      <c r="B15" s="54" t="s">
        <v>17</v>
      </c>
      <c r="C15" s="54"/>
      <c r="D15" s="54"/>
      <c r="E15" s="54"/>
      <c r="F15" s="54"/>
      <c r="G15" s="54"/>
      <c r="H15" s="54"/>
      <c r="I15" s="54"/>
      <c r="J15" s="54"/>
      <c r="K15" s="54"/>
      <c r="L15" s="54"/>
      <c r="M15" s="54"/>
      <c r="N15" s="54"/>
      <c r="O15" s="54"/>
      <c r="P15" s="54"/>
    </row>
    <row r="16" spans="1:16" x14ac:dyDescent="0.35">
      <c r="A16" s="20" t="s">
        <v>18</v>
      </c>
      <c r="B16" s="54" t="s">
        <v>19</v>
      </c>
      <c r="C16" s="54"/>
      <c r="D16" s="54"/>
      <c r="E16" s="54"/>
      <c r="F16" s="54"/>
      <c r="G16" s="54"/>
      <c r="H16" s="54"/>
      <c r="I16" s="54"/>
      <c r="J16" s="54"/>
      <c r="K16" s="54"/>
      <c r="L16" s="54"/>
      <c r="M16" s="54"/>
      <c r="N16" s="54"/>
      <c r="O16" s="54"/>
      <c r="P16" s="54"/>
    </row>
    <row r="17" spans="1:16" x14ac:dyDescent="0.35">
      <c r="A17" s="20" t="s">
        <v>20</v>
      </c>
      <c r="B17" s="54" t="s">
        <v>21</v>
      </c>
      <c r="C17" s="54"/>
      <c r="D17" s="54"/>
      <c r="E17" s="54"/>
      <c r="F17" s="54"/>
      <c r="G17" s="54"/>
      <c r="H17" s="54"/>
      <c r="I17" s="54"/>
      <c r="J17" s="54"/>
      <c r="K17" s="54"/>
      <c r="L17" s="54"/>
      <c r="M17" s="54"/>
      <c r="N17" s="54"/>
      <c r="O17" s="54"/>
      <c r="P17" s="54"/>
    </row>
    <row r="18" spans="1:16" x14ac:dyDescent="0.35">
      <c r="A18" s="20" t="s">
        <v>22</v>
      </c>
      <c r="B18" s="54" t="s">
        <v>23</v>
      </c>
      <c r="C18" s="54"/>
      <c r="D18" s="54"/>
      <c r="E18" s="54"/>
      <c r="F18" s="54"/>
      <c r="G18" s="54"/>
      <c r="H18" s="54"/>
      <c r="I18" s="54"/>
      <c r="J18" s="54"/>
      <c r="K18" s="54"/>
      <c r="L18" s="54"/>
      <c r="M18" s="54"/>
      <c r="N18" s="54"/>
      <c r="O18" s="54"/>
      <c r="P18" s="54"/>
    </row>
    <row r="19" spans="1:16" x14ac:dyDescent="0.35">
      <c r="A19" s="10"/>
      <c r="B19" s="25"/>
      <c r="C19" s="25"/>
      <c r="D19" s="25"/>
      <c r="E19" s="25"/>
      <c r="F19" s="25"/>
      <c r="G19" s="25"/>
      <c r="H19" s="25"/>
      <c r="I19" s="25"/>
      <c r="J19" s="25"/>
      <c r="K19" s="25"/>
      <c r="L19" s="25"/>
      <c r="M19" s="25"/>
      <c r="N19" s="25"/>
      <c r="O19" s="25"/>
      <c r="P19" s="25"/>
    </row>
    <row r="20" spans="1:16" x14ac:dyDescent="0.35">
      <c r="A20" s="23" t="s">
        <v>24</v>
      </c>
      <c r="B20" s="22"/>
      <c r="C20" s="22"/>
      <c r="D20" s="22"/>
      <c r="E20" s="22"/>
      <c r="F20" s="22"/>
      <c r="G20" s="22"/>
      <c r="H20" s="22"/>
      <c r="I20" s="22"/>
      <c r="J20" s="22"/>
      <c r="K20" s="22"/>
      <c r="L20" s="22"/>
      <c r="M20" s="22"/>
      <c r="N20" s="22"/>
      <c r="O20" s="22"/>
      <c r="P20" s="22"/>
    </row>
    <row r="21" spans="1:16" ht="46.5" customHeight="1" x14ac:dyDescent="0.35">
      <c r="A21" s="26" t="s">
        <v>25</v>
      </c>
      <c r="B21" s="55" t="s">
        <v>26</v>
      </c>
      <c r="C21" s="55"/>
      <c r="D21" s="55"/>
      <c r="E21" s="55"/>
      <c r="F21" s="55"/>
      <c r="G21" s="55"/>
      <c r="H21" s="55"/>
      <c r="I21" s="55"/>
      <c r="J21" s="55"/>
      <c r="K21" s="55"/>
      <c r="L21" s="55"/>
      <c r="M21" s="55"/>
      <c r="N21" s="55"/>
      <c r="O21" s="55"/>
      <c r="P21" s="55"/>
    </row>
    <row r="22" spans="1:16" x14ac:dyDescent="0.35">
      <c r="A22" s="9"/>
      <c r="B22" s="21"/>
      <c r="C22" s="21"/>
      <c r="D22" s="21"/>
      <c r="E22" s="21"/>
      <c r="F22" s="21"/>
      <c r="G22" s="21"/>
      <c r="H22" s="21"/>
      <c r="I22" s="21"/>
      <c r="J22" s="21"/>
      <c r="K22" s="21"/>
      <c r="L22" s="21"/>
      <c r="M22" s="21"/>
      <c r="N22" s="21"/>
      <c r="O22" s="21"/>
      <c r="P22" s="21"/>
    </row>
    <row r="23" spans="1:16" x14ac:dyDescent="0.35">
      <c r="A23" s="23" t="s">
        <v>27</v>
      </c>
      <c r="B23" s="22"/>
      <c r="C23" s="22"/>
      <c r="D23" s="22"/>
      <c r="E23" s="22"/>
      <c r="F23" s="22"/>
      <c r="G23" s="22"/>
      <c r="H23" s="22"/>
      <c r="I23" s="22"/>
      <c r="J23" s="22"/>
      <c r="K23" s="22"/>
      <c r="L23" s="22"/>
      <c r="M23" s="22"/>
      <c r="N23" s="22"/>
      <c r="O23" s="22"/>
      <c r="P23" s="22"/>
    </row>
    <row r="24" spans="1:16" x14ac:dyDescent="0.35">
      <c r="A24" s="17"/>
      <c r="B24" s="54" t="s">
        <v>28</v>
      </c>
      <c r="C24" s="54"/>
      <c r="D24" s="54"/>
      <c r="E24" s="54"/>
      <c r="F24" s="54"/>
      <c r="G24" s="54"/>
      <c r="H24" s="54"/>
      <c r="I24" s="54"/>
      <c r="J24" s="54"/>
      <c r="K24" s="54"/>
      <c r="L24" s="54"/>
      <c r="M24" s="54"/>
      <c r="N24" s="54"/>
      <c r="O24" s="54"/>
      <c r="P24" s="54"/>
    </row>
    <row r="25" spans="1:16" x14ac:dyDescent="0.35">
      <c r="A25" s="16"/>
      <c r="B25" s="54" t="s">
        <v>29</v>
      </c>
      <c r="C25" s="54"/>
      <c r="D25" s="54"/>
      <c r="E25" s="54"/>
      <c r="F25" s="54"/>
      <c r="G25" s="54"/>
      <c r="H25" s="54"/>
      <c r="I25" s="54"/>
      <c r="J25" s="54"/>
      <c r="K25" s="54"/>
      <c r="L25" s="54"/>
      <c r="M25" s="54"/>
      <c r="N25" s="54"/>
      <c r="O25" s="54"/>
      <c r="P25" s="54"/>
    </row>
    <row r="26" spans="1:16" x14ac:dyDescent="0.35">
      <c r="A26" s="14"/>
      <c r="B26" s="54" t="s">
        <v>30</v>
      </c>
      <c r="C26" s="54"/>
      <c r="D26" s="54"/>
      <c r="E26" s="54"/>
      <c r="F26" s="54"/>
      <c r="G26" s="54"/>
      <c r="H26" s="54"/>
      <c r="I26" s="54"/>
      <c r="J26" s="54"/>
      <c r="K26" s="54"/>
      <c r="L26" s="54"/>
      <c r="M26" s="54"/>
      <c r="N26" s="54"/>
      <c r="O26" s="54"/>
      <c r="P26" s="54"/>
    </row>
    <row r="27" spans="1:16" x14ac:dyDescent="0.35">
      <c r="A27" s="48"/>
      <c r="B27" s="2" t="s">
        <v>31</v>
      </c>
    </row>
    <row r="28" spans="1:16" x14ac:dyDescent="0.35">
      <c r="A28" s="23" t="s">
        <v>32</v>
      </c>
      <c r="B28" s="22"/>
      <c r="C28" s="22"/>
      <c r="D28" s="22"/>
      <c r="E28" s="22"/>
      <c r="F28" s="22"/>
      <c r="G28" s="22"/>
      <c r="H28" s="22"/>
      <c r="I28" s="22"/>
      <c r="J28" s="22"/>
      <c r="K28" s="22"/>
      <c r="L28" s="22"/>
      <c r="M28" s="22"/>
      <c r="N28" s="22"/>
      <c r="O28" s="22"/>
      <c r="P28" s="22"/>
    </row>
    <row r="29" spans="1:16" x14ac:dyDescent="0.35">
      <c r="A29" s="1" t="s">
        <v>33</v>
      </c>
      <c r="B29" s="51">
        <v>45884</v>
      </c>
    </row>
    <row r="30" spans="1:16" x14ac:dyDescent="0.35">
      <c r="A30" s="1" t="s">
        <v>34</v>
      </c>
      <c r="B30" s="51">
        <v>45926</v>
      </c>
      <c r="C30" s="2" t="s">
        <v>35</v>
      </c>
    </row>
  </sheetData>
  <mergeCells count="14">
    <mergeCell ref="B5:P5"/>
    <mergeCell ref="B6:P6"/>
    <mergeCell ref="B9:P9"/>
    <mergeCell ref="B10:P10"/>
    <mergeCell ref="B13:P13"/>
    <mergeCell ref="B26:P26"/>
    <mergeCell ref="B24:P24"/>
    <mergeCell ref="B25:P25"/>
    <mergeCell ref="B21:P21"/>
    <mergeCell ref="B14:P14"/>
    <mergeCell ref="B15:P15"/>
    <mergeCell ref="B16:P16"/>
    <mergeCell ref="B17:P17"/>
    <mergeCell ref="B18:P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8D781-BF1D-4476-B40C-688AD586801B}">
  <dimension ref="A1:I38"/>
  <sheetViews>
    <sheetView tabSelected="1" zoomScale="80" zoomScaleNormal="80" workbookViewId="0">
      <pane ySplit="1" topLeftCell="A20" activePane="bottomLeft" state="frozen"/>
      <selection activeCell="D1" sqref="D1"/>
      <selection pane="bottomLeft" activeCell="C22" sqref="C22"/>
    </sheetView>
  </sheetViews>
  <sheetFormatPr defaultColWidth="8.54296875" defaultRowHeight="14.5" x14ac:dyDescent="0.35"/>
  <cols>
    <col min="1" max="1" width="33.81640625" style="1" customWidth="1"/>
    <col min="2" max="2" width="34.54296875" style="1" customWidth="1"/>
    <col min="3" max="3" width="44.81640625" style="1" bestFit="1" customWidth="1"/>
    <col min="4" max="4" width="10.81640625" style="1" customWidth="1"/>
    <col min="5" max="5" width="30.54296875" style="1" customWidth="1"/>
    <col min="6" max="7" width="29.453125" style="1" customWidth="1"/>
    <col min="8" max="8" width="42.26953125" style="1" customWidth="1"/>
    <col min="9" max="9" width="21.54296875" style="1" customWidth="1"/>
    <col min="10" max="16384" width="8.54296875" style="1"/>
  </cols>
  <sheetData>
    <row r="1" spans="1:9" ht="29" x14ac:dyDescent="0.35">
      <c r="A1" s="13" t="str" cm="1">
        <f t="array" aca="1" ref="A1" ca="1">HYPERLINK("#"&amp;CELL("address",INDEX('Read Me'!A23,MATCH("Field Name Color Key",'Read Me'!A23))),"Field Name")</f>
        <v>Field Name</v>
      </c>
      <c r="B1" s="13" t="str" cm="1">
        <f t="array" aca="1" ref="B1" ca="1">HYPERLINK("#"&amp;CELL("address",INDEX('Read Me'!A12,MATCH("Data type definitions",'Read Me'!A12))),"Data Type")</f>
        <v>Data Type</v>
      </c>
      <c r="C1" s="1" t="s">
        <v>36</v>
      </c>
      <c r="D1" s="1" t="s">
        <v>37</v>
      </c>
      <c r="E1" s="1" t="s">
        <v>38</v>
      </c>
      <c r="F1" s="1" t="s">
        <v>39</v>
      </c>
      <c r="G1" s="13" t="str" cm="1">
        <f t="array" aca="1" ref="G1" ca="1">HYPERLINK("#"&amp;CELL("address",INDEX('Read Me'!A4,MATCH("Submission Requirements!",'Read Me'!A4))),"Submission Requirement")</f>
        <v>Submission Requirement</v>
      </c>
      <c r="H1" s="1" t="s">
        <v>40</v>
      </c>
    </row>
    <row r="2" spans="1:9" x14ac:dyDescent="0.35">
      <c r="A2" s="52" t="s">
        <v>41</v>
      </c>
      <c r="B2" s="53" t="s">
        <v>12</v>
      </c>
      <c r="C2" s="1" t="s">
        <v>42</v>
      </c>
      <c r="D2" s="1" t="s">
        <v>43</v>
      </c>
      <c r="F2" s="1" t="s">
        <v>44</v>
      </c>
      <c r="G2" s="13"/>
    </row>
    <row r="3" spans="1:9" s="4" customFormat="1" ht="101.5" x14ac:dyDescent="0.35">
      <c r="A3" s="43" t="s">
        <v>45</v>
      </c>
      <c r="B3" s="4" t="s">
        <v>12</v>
      </c>
      <c r="C3" s="4" t="s">
        <v>46</v>
      </c>
      <c r="D3" s="4" t="s">
        <v>43</v>
      </c>
      <c r="G3" s="3" t="s">
        <v>47</v>
      </c>
      <c r="H3" s="3" t="s">
        <v>48</v>
      </c>
    </row>
    <row r="4" spans="1:9" ht="43.5" x14ac:dyDescent="0.35">
      <c r="A4" s="14" t="s">
        <v>49</v>
      </c>
      <c r="B4" s="1" t="s">
        <v>22</v>
      </c>
      <c r="C4" s="3" t="s">
        <v>50</v>
      </c>
      <c r="D4" s="4" t="s">
        <v>43</v>
      </c>
      <c r="E4" s="12" t="str" cm="1">
        <f t="array" aca="1" ref="E4" ca="1">HYPERLINK("#"&amp;CELL("address",INDEX('Value Sets'!$F$1:$AZ$1,MATCH("vs_wwtp_jurisdiction",'Value Sets'!$F$1:$AZ$1))),"[See Value Sets: vs_wwtp_jurisdiction]")</f>
        <v>[See Value Sets: vs_wwtp_jurisdiction]</v>
      </c>
      <c r="F4" s="1" t="s">
        <v>44</v>
      </c>
      <c r="G4" s="3" t="s">
        <v>47</v>
      </c>
      <c r="H4" s="3" t="s">
        <v>48</v>
      </c>
    </row>
    <row r="5" spans="1:9" ht="34.5" customHeight="1" x14ac:dyDescent="0.35">
      <c r="A5" s="17" t="s">
        <v>51</v>
      </c>
      <c r="B5" s="1" t="s">
        <v>22</v>
      </c>
      <c r="C5" s="3" t="s">
        <v>52</v>
      </c>
      <c r="D5" s="4" t="s">
        <v>43</v>
      </c>
      <c r="E5" s="12"/>
      <c r="F5" s="1" t="s">
        <v>44</v>
      </c>
      <c r="G5" s="3"/>
      <c r="H5" s="3"/>
    </row>
    <row r="6" spans="1:9" ht="116" x14ac:dyDescent="0.35">
      <c r="A6" s="14" t="s">
        <v>53</v>
      </c>
      <c r="B6" s="1" t="s">
        <v>54</v>
      </c>
      <c r="C6" s="1" t="s">
        <v>55</v>
      </c>
      <c r="D6" s="4" t="s">
        <v>43</v>
      </c>
      <c r="E6" s="1" t="s">
        <v>56</v>
      </c>
      <c r="F6" s="1" t="s">
        <v>44</v>
      </c>
      <c r="G6" s="3" t="s">
        <v>47</v>
      </c>
      <c r="H6" s="3" t="s">
        <v>48</v>
      </c>
    </row>
    <row r="7" spans="1:9" ht="29" x14ac:dyDescent="0.35">
      <c r="A7" s="14" t="s">
        <v>57</v>
      </c>
      <c r="B7" s="1" t="s">
        <v>12</v>
      </c>
      <c r="C7" s="1" t="s">
        <v>58</v>
      </c>
      <c r="D7" s="4" t="s">
        <v>43</v>
      </c>
      <c r="F7" s="1" t="s">
        <v>44</v>
      </c>
      <c r="G7" s="3" t="s">
        <v>47</v>
      </c>
      <c r="H7" s="3" t="s">
        <v>48</v>
      </c>
    </row>
    <row r="8" spans="1:9" ht="58" x14ac:dyDescent="0.35">
      <c r="A8" s="17" t="s">
        <v>59</v>
      </c>
      <c r="B8" s="1" t="s">
        <v>16</v>
      </c>
      <c r="C8" s="6" t="s">
        <v>60</v>
      </c>
      <c r="D8" s="4" t="s">
        <v>43</v>
      </c>
      <c r="E8" s="1" t="s">
        <v>61</v>
      </c>
      <c r="F8" s="1" t="s">
        <v>44</v>
      </c>
      <c r="G8" s="3" t="s">
        <v>47</v>
      </c>
      <c r="H8" s="3" t="s">
        <v>48</v>
      </c>
    </row>
    <row r="9" spans="1:9" ht="58" x14ac:dyDescent="0.35">
      <c r="A9" s="18" t="s">
        <v>62</v>
      </c>
      <c r="B9" s="4" t="s">
        <v>12</v>
      </c>
      <c r="C9" s="1" t="s">
        <v>63</v>
      </c>
      <c r="D9" s="4" t="s">
        <v>43</v>
      </c>
      <c r="E9" s="1" t="s">
        <v>64</v>
      </c>
      <c r="F9" s="1" t="s">
        <v>44</v>
      </c>
      <c r="G9" s="4" t="s">
        <v>47</v>
      </c>
      <c r="H9" s="3" t="s">
        <v>48</v>
      </c>
    </row>
    <row r="10" spans="1:9" x14ac:dyDescent="0.35">
      <c r="A10" s="14" t="s">
        <v>65</v>
      </c>
      <c r="B10" s="1" t="s">
        <v>66</v>
      </c>
      <c r="C10" s="1" t="s">
        <v>67</v>
      </c>
      <c r="D10" s="4" t="s">
        <v>43</v>
      </c>
      <c r="E10" s="1" t="s">
        <v>68</v>
      </c>
      <c r="F10" s="1" t="s">
        <v>44</v>
      </c>
      <c r="G10" s="1" t="s">
        <v>47</v>
      </c>
      <c r="H10" s="3" t="s">
        <v>48</v>
      </c>
    </row>
    <row r="11" spans="1:9" ht="101.5" x14ac:dyDescent="0.35">
      <c r="A11" s="14" t="s">
        <v>69</v>
      </c>
      <c r="B11" s="1" t="s">
        <v>22</v>
      </c>
      <c r="C11" s="5" t="s">
        <v>70</v>
      </c>
      <c r="D11" s="4" t="s">
        <v>43</v>
      </c>
      <c r="E11" s="12" t="str" cm="1">
        <f t="array" aca="1" ref="E11" ca="1">HYPERLINK("#"&amp;CELL("address",INDEX('Value Sets'!$F$1:$AZ$1,MATCH("vs_sample_type",'Value Sets'!$F$1:$AZ$1))),"[See Value Sets: vs_sample_type]")</f>
        <v>[See Value Sets: vs_sample_type]</v>
      </c>
      <c r="F11" s="1" t="s">
        <v>44</v>
      </c>
      <c r="G11" s="5" t="s">
        <v>47</v>
      </c>
      <c r="H11" s="3" t="s">
        <v>48</v>
      </c>
    </row>
    <row r="12" spans="1:9" ht="72.5" x14ac:dyDescent="0.35">
      <c r="A12" s="14" t="s">
        <v>71</v>
      </c>
      <c r="B12" s="1" t="s">
        <v>22</v>
      </c>
      <c r="C12" s="5" t="s">
        <v>72</v>
      </c>
      <c r="D12" s="4" t="s">
        <v>43</v>
      </c>
      <c r="E12" s="12" t="str" cm="1">
        <f t="array" aca="1" ref="E12" ca="1">HYPERLINK("#"&amp;CELL("address",INDEX('Value Sets'!$F$1:$AZ$1,MATCH("vs_sample_matrix",'Value Sets'!$F$1:$AZ$1))),"[See Value Sets: vs_sample_matrix]")</f>
        <v>[See Value Sets: vs_sample_matrix]</v>
      </c>
      <c r="F12" s="1" t="s">
        <v>44</v>
      </c>
      <c r="G12" s="5" t="s">
        <v>47</v>
      </c>
      <c r="H12" s="3" t="s">
        <v>48</v>
      </c>
    </row>
    <row r="13" spans="1:9" ht="72.5" x14ac:dyDescent="0.35">
      <c r="A13" s="14" t="s">
        <v>73</v>
      </c>
      <c r="B13" s="4" t="s">
        <v>22</v>
      </c>
      <c r="C13" s="4" t="s">
        <v>74</v>
      </c>
      <c r="D13" s="4" t="s">
        <v>43</v>
      </c>
      <c r="E13" s="13" t="str" cm="1">
        <f t="array" aca="1" ref="E13" ca="1">HYPERLINK("#"&amp;CELL("address",INDEX('Value Sets'!$F$1:$AZ$1,MATCH("vs_sample_location",'Value Sets'!$F$1:$AZ$1))),"[See Value Sets: vs_sample_location]")</f>
        <v>[See Value Sets: vs_sample_location]</v>
      </c>
      <c r="F13" s="1" t="s">
        <v>44</v>
      </c>
      <c r="G13" s="5" t="s">
        <v>47</v>
      </c>
      <c r="H13" s="3" t="s">
        <v>48</v>
      </c>
    </row>
    <row r="14" spans="1:9" ht="116" x14ac:dyDescent="0.35">
      <c r="A14" s="14" t="s">
        <v>75</v>
      </c>
      <c r="B14" s="1" t="s">
        <v>14</v>
      </c>
      <c r="C14" s="1" t="s">
        <v>76</v>
      </c>
      <c r="D14" s="4" t="s">
        <v>43</v>
      </c>
      <c r="E14" s="1" t="s">
        <v>77</v>
      </c>
      <c r="F14" s="1" t="s">
        <v>78</v>
      </c>
      <c r="G14" s="1" t="s">
        <v>47</v>
      </c>
      <c r="H14" s="6" t="s">
        <v>79</v>
      </c>
    </row>
    <row r="15" spans="1:9" ht="72.5" x14ac:dyDescent="0.35">
      <c r="A15" s="16" t="s">
        <v>80</v>
      </c>
      <c r="B15" s="1" t="s">
        <v>22</v>
      </c>
      <c r="C15" s="1" t="s">
        <v>81</v>
      </c>
      <c r="D15" s="4" t="s">
        <v>43</v>
      </c>
      <c r="E15" s="12" t="str" cm="1">
        <f t="array" aca="1" ref="E15" ca="1">HYPERLINK("#"&amp;CELL("address",INDEX('Value Sets'!$F$1:$AZ$1,MATCH("vs_concentration_method",'Value Sets'!$F$1:$AZ$1))),"[See Value Sets: vs_concentration_method]")</f>
        <v>[See Value Sets: vs_concentration_method]</v>
      </c>
      <c r="F15" s="1" t="s">
        <v>44</v>
      </c>
      <c r="G15" s="1" t="s">
        <v>47</v>
      </c>
      <c r="H15" s="3" t="s">
        <v>48</v>
      </c>
    </row>
    <row r="16" spans="1:9" ht="29" x14ac:dyDescent="0.35">
      <c r="A16" s="15" t="s">
        <v>82</v>
      </c>
      <c r="B16" s="4" t="s">
        <v>22</v>
      </c>
      <c r="C16" s="4" t="s">
        <v>83</v>
      </c>
      <c r="D16" s="4" t="s">
        <v>43</v>
      </c>
      <c r="E16" s="38" t="str" cm="1">
        <f t="array" aca="1" ref="E16" ca="1">HYPERLINK("#"&amp;CELL("address",INDEX('Value Sets'!$F$1:$AZ$1,MATCH("vs_yn",'Value Sets'!$F$1:$AZ$1))),"[See Value Sets: vs_yn]")</f>
        <v>[See Value Sets: vs_yn]</v>
      </c>
      <c r="F16" s="4" t="s">
        <v>44</v>
      </c>
      <c r="G16" s="4" t="s">
        <v>47</v>
      </c>
      <c r="H16" s="6" t="s">
        <v>48</v>
      </c>
      <c r="I16" s="4"/>
    </row>
    <row r="17" spans="1:9" s="4" customFormat="1" ht="87" x14ac:dyDescent="0.35">
      <c r="A17" s="16" t="s">
        <v>84</v>
      </c>
      <c r="B17" s="1" t="s">
        <v>22</v>
      </c>
      <c r="C17" s="1" t="s">
        <v>85</v>
      </c>
      <c r="D17" s="4" t="s">
        <v>43</v>
      </c>
      <c r="E17" s="13" t="s">
        <v>86</v>
      </c>
      <c r="F17" s="1" t="s">
        <v>44</v>
      </c>
      <c r="G17" s="1" t="s">
        <v>47</v>
      </c>
      <c r="H17" s="3" t="s">
        <v>87</v>
      </c>
      <c r="I17" s="1"/>
    </row>
    <row r="18" spans="1:9" ht="43.5" x14ac:dyDescent="0.35">
      <c r="A18" s="16" t="s">
        <v>88</v>
      </c>
      <c r="B18" s="4" t="s">
        <v>22</v>
      </c>
      <c r="C18" s="1" t="s">
        <v>89</v>
      </c>
      <c r="D18" s="4" t="s">
        <v>43</v>
      </c>
      <c r="E18" s="12" t="s">
        <v>90</v>
      </c>
      <c r="F18" s="1" t="s">
        <v>44</v>
      </c>
      <c r="G18" s="1" t="s">
        <v>47</v>
      </c>
      <c r="H18" s="3" t="s">
        <v>48</v>
      </c>
    </row>
    <row r="19" spans="1:9" ht="274.5" customHeight="1" x14ac:dyDescent="0.35">
      <c r="A19" s="15" t="s">
        <v>91</v>
      </c>
      <c r="B19" s="1" t="s">
        <v>16</v>
      </c>
      <c r="C19" s="4" t="s">
        <v>92</v>
      </c>
      <c r="D19" s="4" t="s">
        <v>43</v>
      </c>
      <c r="E19" s="1" t="s">
        <v>61</v>
      </c>
      <c r="F19" s="1" t="s">
        <v>44</v>
      </c>
      <c r="G19" s="4" t="s">
        <v>47</v>
      </c>
      <c r="H19" s="3" t="s">
        <v>48</v>
      </c>
    </row>
    <row r="20" spans="1:9" ht="116" x14ac:dyDescent="0.35">
      <c r="A20" s="16" t="s">
        <v>93</v>
      </c>
      <c r="B20" s="1" t="s">
        <v>22</v>
      </c>
      <c r="C20" s="1" t="s">
        <v>94</v>
      </c>
      <c r="D20" s="4" t="s">
        <v>43</v>
      </c>
      <c r="E20" s="13" t="s">
        <v>95</v>
      </c>
      <c r="F20" s="1" t="s">
        <v>44</v>
      </c>
      <c r="G20" s="1" t="s">
        <v>47</v>
      </c>
      <c r="H20" s="3" t="s">
        <v>48</v>
      </c>
    </row>
    <row r="21" spans="1:9" ht="101.5" x14ac:dyDescent="0.35">
      <c r="A21" s="16" t="s">
        <v>96</v>
      </c>
      <c r="B21" s="1" t="s">
        <v>22</v>
      </c>
      <c r="C21" s="1" t="s">
        <v>97</v>
      </c>
      <c r="D21" s="4" t="s">
        <v>43</v>
      </c>
      <c r="E21" s="12" t="s">
        <v>98</v>
      </c>
      <c r="F21" s="1" t="s">
        <v>44</v>
      </c>
      <c r="G21" s="1" t="s">
        <v>47</v>
      </c>
      <c r="H21" s="1" t="s">
        <v>99</v>
      </c>
    </row>
    <row r="22" spans="1:9" ht="130.5" x14ac:dyDescent="0.35">
      <c r="A22" s="16" t="s">
        <v>100</v>
      </c>
      <c r="B22" s="1" t="s">
        <v>22</v>
      </c>
      <c r="C22" s="1" t="s">
        <v>101</v>
      </c>
      <c r="D22" s="4" t="s">
        <v>43</v>
      </c>
      <c r="E22" s="13" t="s">
        <v>102</v>
      </c>
      <c r="F22" s="1" t="s">
        <v>44</v>
      </c>
      <c r="G22" s="1" t="s">
        <v>47</v>
      </c>
      <c r="H22" s="3" t="s">
        <v>48</v>
      </c>
    </row>
    <row r="23" spans="1:9" ht="204.65" customHeight="1" x14ac:dyDescent="0.35">
      <c r="A23" s="16" t="s">
        <v>103</v>
      </c>
      <c r="B23" s="1" t="s">
        <v>22</v>
      </c>
      <c r="C23" s="1" t="s">
        <v>104</v>
      </c>
      <c r="D23" s="4" t="s">
        <v>43</v>
      </c>
      <c r="E23" s="13" t="s">
        <v>105</v>
      </c>
      <c r="F23" s="1" t="s">
        <v>44</v>
      </c>
      <c r="G23" s="1" t="s">
        <v>47</v>
      </c>
      <c r="H23" s="3" t="s">
        <v>48</v>
      </c>
      <c r="I23" s="36"/>
    </row>
    <row r="24" spans="1:9" ht="43.5" x14ac:dyDescent="0.35">
      <c r="A24" s="16" t="s">
        <v>106</v>
      </c>
      <c r="B24" s="1" t="s">
        <v>22</v>
      </c>
      <c r="C24" s="1" t="s">
        <v>107</v>
      </c>
      <c r="D24" s="4" t="s">
        <v>43</v>
      </c>
      <c r="E24" s="13" t="s">
        <v>108</v>
      </c>
      <c r="F24" s="1" t="s">
        <v>44</v>
      </c>
      <c r="G24" s="1" t="s">
        <v>47</v>
      </c>
      <c r="H24" s="3" t="s">
        <v>109</v>
      </c>
      <c r="I24" s="11"/>
    </row>
    <row r="25" spans="1:9" ht="116" x14ac:dyDescent="0.35">
      <c r="A25" s="16" t="s">
        <v>110</v>
      </c>
      <c r="B25" s="1" t="s">
        <v>14</v>
      </c>
      <c r="C25" s="5" t="s">
        <v>111</v>
      </c>
      <c r="D25" s="4" t="s">
        <v>43</v>
      </c>
      <c r="E25" s="4" t="s">
        <v>112</v>
      </c>
      <c r="F25" s="1" t="s">
        <v>113</v>
      </c>
      <c r="G25" s="1" t="s">
        <v>47</v>
      </c>
      <c r="H25" s="1" t="s">
        <v>114</v>
      </c>
    </row>
    <row r="26" spans="1:9" ht="29" x14ac:dyDescent="0.35">
      <c r="A26" s="16" t="s">
        <v>115</v>
      </c>
      <c r="B26" s="1" t="s">
        <v>22</v>
      </c>
      <c r="C26" s="1" t="s">
        <v>116</v>
      </c>
      <c r="D26" s="1" t="s">
        <v>43</v>
      </c>
      <c r="E26" s="13" t="s">
        <v>117</v>
      </c>
      <c r="F26" s="1" t="s">
        <v>44</v>
      </c>
      <c r="G26" s="1" t="s">
        <v>47</v>
      </c>
      <c r="H26" s="1" t="s">
        <v>118</v>
      </c>
    </row>
    <row r="27" spans="1:9" ht="101.5" x14ac:dyDescent="0.35">
      <c r="A27" s="16" t="s">
        <v>119</v>
      </c>
      <c r="B27" s="1" t="s">
        <v>14</v>
      </c>
      <c r="C27" s="1" t="s">
        <v>120</v>
      </c>
      <c r="D27" s="4" t="s">
        <v>43</v>
      </c>
      <c r="E27" s="45" t="s">
        <v>121</v>
      </c>
      <c r="G27" s="1" t="s">
        <v>47</v>
      </c>
      <c r="H27" s="1" t="s">
        <v>122</v>
      </c>
    </row>
    <row r="28" spans="1:9" ht="87" x14ac:dyDescent="0.35">
      <c r="A28" s="16" t="s">
        <v>123</v>
      </c>
      <c r="B28" s="1" t="s">
        <v>14</v>
      </c>
      <c r="C28" s="1" t="s">
        <v>124</v>
      </c>
      <c r="D28" s="4" t="s">
        <v>125</v>
      </c>
      <c r="E28" s="45" t="s">
        <v>121</v>
      </c>
      <c r="G28" s="1" t="s">
        <v>126</v>
      </c>
    </row>
    <row r="29" spans="1:9" ht="72.5" x14ac:dyDescent="0.35">
      <c r="A29" s="16" t="s">
        <v>127</v>
      </c>
      <c r="B29" s="1" t="s">
        <v>14</v>
      </c>
      <c r="C29" s="1" t="s">
        <v>128</v>
      </c>
      <c r="D29" s="4" t="s">
        <v>125</v>
      </c>
      <c r="E29" s="45" t="s">
        <v>121</v>
      </c>
      <c r="G29" s="1" t="s">
        <v>126</v>
      </c>
      <c r="H29" s="1" t="s">
        <v>129</v>
      </c>
    </row>
    <row r="30" spans="1:9" ht="87" x14ac:dyDescent="0.35">
      <c r="A30" s="16" t="s">
        <v>130</v>
      </c>
      <c r="B30" s="1" t="s">
        <v>14</v>
      </c>
      <c r="C30" s="1" t="s">
        <v>131</v>
      </c>
      <c r="D30" s="4" t="s">
        <v>125</v>
      </c>
      <c r="E30" s="45" t="s">
        <v>121</v>
      </c>
      <c r="G30" s="1" t="s">
        <v>126</v>
      </c>
      <c r="H30" s="1" t="s">
        <v>132</v>
      </c>
    </row>
    <row r="31" spans="1:9" ht="29" x14ac:dyDescent="0.35">
      <c r="A31" s="16" t="s">
        <v>133</v>
      </c>
      <c r="B31" s="1" t="s">
        <v>22</v>
      </c>
      <c r="C31" s="1" t="s">
        <v>134</v>
      </c>
      <c r="D31" s="4" t="s">
        <v>43</v>
      </c>
      <c r="E31" s="12" t="s">
        <v>135</v>
      </c>
      <c r="F31" s="1" t="s">
        <v>44</v>
      </c>
      <c r="G31" s="1" t="s">
        <v>126</v>
      </c>
      <c r="H31" s="1" t="s">
        <v>136</v>
      </c>
      <c r="I31" s="37"/>
    </row>
    <row r="32" spans="1:9" ht="29" x14ac:dyDescent="0.35">
      <c r="A32" s="16" t="s">
        <v>137</v>
      </c>
      <c r="B32" s="1" t="s">
        <v>14</v>
      </c>
      <c r="C32" s="1" t="s">
        <v>138</v>
      </c>
      <c r="D32" s="4" t="s">
        <v>43</v>
      </c>
      <c r="E32" s="1" t="s">
        <v>139</v>
      </c>
      <c r="F32" s="1" t="s">
        <v>140</v>
      </c>
      <c r="G32" s="1" t="s">
        <v>126</v>
      </c>
      <c r="H32" s="1" t="s">
        <v>141</v>
      </c>
      <c r="I32" s="37"/>
    </row>
    <row r="33" spans="1:9" ht="29" x14ac:dyDescent="0.35">
      <c r="A33" s="16" t="s">
        <v>142</v>
      </c>
      <c r="B33" s="1" t="s">
        <v>22</v>
      </c>
      <c r="C33" s="1" t="s">
        <v>143</v>
      </c>
      <c r="D33" s="4" t="s">
        <v>43</v>
      </c>
      <c r="E33" s="13" t="s">
        <v>144</v>
      </c>
      <c r="F33" s="1" t="s">
        <v>44</v>
      </c>
      <c r="G33" s="1" t="s">
        <v>126</v>
      </c>
      <c r="H33" s="1" t="s">
        <v>136</v>
      </c>
      <c r="I33" s="37"/>
    </row>
    <row r="34" spans="1:9" ht="217.5" x14ac:dyDescent="0.35">
      <c r="A34" s="16" t="s">
        <v>145</v>
      </c>
      <c r="B34" s="1" t="s">
        <v>14</v>
      </c>
      <c r="C34" s="1" t="s">
        <v>146</v>
      </c>
      <c r="D34" s="4" t="s">
        <v>43</v>
      </c>
      <c r="E34" s="1" t="s">
        <v>147</v>
      </c>
      <c r="F34" s="1" t="s">
        <v>148</v>
      </c>
      <c r="G34" s="1" t="s">
        <v>47</v>
      </c>
      <c r="H34" s="3" t="s">
        <v>149</v>
      </c>
    </row>
    <row r="35" spans="1:9" ht="58" x14ac:dyDescent="0.35">
      <c r="A35" s="16" t="s">
        <v>150</v>
      </c>
      <c r="B35" s="1" t="s">
        <v>22</v>
      </c>
      <c r="C35" s="1" t="s">
        <v>151</v>
      </c>
      <c r="D35" s="4" t="s">
        <v>43</v>
      </c>
      <c r="E35" s="12" t="s">
        <v>152</v>
      </c>
      <c r="F35" s="1" t="s">
        <v>44</v>
      </c>
      <c r="G35" s="4" t="s">
        <v>47</v>
      </c>
      <c r="H35" s="4" t="s">
        <v>153</v>
      </c>
    </row>
    <row r="36" spans="1:9" ht="43.5" x14ac:dyDescent="0.35">
      <c r="A36" s="16" t="s">
        <v>154</v>
      </c>
      <c r="B36" s="1" t="s">
        <v>22</v>
      </c>
      <c r="C36" s="1" t="s">
        <v>155</v>
      </c>
      <c r="D36" s="4" t="s">
        <v>43</v>
      </c>
      <c r="E36" s="12" t="s">
        <v>156</v>
      </c>
      <c r="F36" s="1" t="s">
        <v>44</v>
      </c>
      <c r="G36" s="4" t="s">
        <v>47</v>
      </c>
      <c r="H36" s="1" t="s">
        <v>157</v>
      </c>
    </row>
    <row r="37" spans="1:9" ht="58" x14ac:dyDescent="0.35">
      <c r="A37" s="16" t="s">
        <v>158</v>
      </c>
      <c r="B37" s="1" t="s">
        <v>14</v>
      </c>
      <c r="C37" s="1" t="s">
        <v>159</v>
      </c>
      <c r="D37" s="4" t="s">
        <v>43</v>
      </c>
      <c r="E37" s="1" t="s">
        <v>139</v>
      </c>
      <c r="F37" s="1" t="s">
        <v>160</v>
      </c>
      <c r="G37" s="4" t="s">
        <v>47</v>
      </c>
      <c r="H37" s="1" t="s">
        <v>157</v>
      </c>
    </row>
    <row r="38" spans="1:9" ht="29" x14ac:dyDescent="0.35">
      <c r="A38" s="48" t="s">
        <v>161</v>
      </c>
      <c r="B38" s="1" t="s">
        <v>66</v>
      </c>
      <c r="C38" s="1" t="s">
        <v>162</v>
      </c>
      <c r="D38" s="1" t="s">
        <v>125</v>
      </c>
      <c r="E38" s="1" t="s">
        <v>68</v>
      </c>
      <c r="F38" s="1" t="s">
        <v>44</v>
      </c>
      <c r="H38" s="3" t="s">
        <v>48</v>
      </c>
    </row>
  </sheetData>
  <autoFilter ref="A1:H38" xr:uid="{8CE8D781-BF1D-4476-B40C-688AD586801B}"/>
  <hyperlinks>
    <hyperlink ref="E13" location="'Value Sets'!AH1" display="'Value Sets'!AH1" xr:uid="{90B744F4-3189-437A-B298-23C8CEDF55C2}"/>
    <hyperlink ref="E4" location="'Value Sets'!AQ1" display="'Value Sets'!AQ1" xr:uid="{E7B14954-DCF8-4F82-B6B4-2CA2DFFD554A}"/>
    <hyperlink ref="E21" location="'Value Sets'!AW1" display="[See Value Sets: vs_yne]" xr:uid="{CE83A54B-9801-4755-B657-4FC78C28CF76}"/>
    <hyperlink ref="E11" location="'Value Sets'!AN1" display="'Value Sets'!AN1" xr:uid="{2BFC84A0-CC26-4377-BC15-C01D091A423B}"/>
    <hyperlink ref="E12" location="'Value Sets'!AK1" display="'Value Sets'!AK1" xr:uid="{6D1C942C-5ED5-423E-83C5-95977EAA3BAF}"/>
    <hyperlink ref="E22" location="'Value Sets'!AT1" display="[See Value Sets: vs_yn]" xr:uid="{26D4A561-B31E-48B7-9D7A-683C0051E595}"/>
    <hyperlink ref="E15" location="'Value Sets'!G1" display="[See Value Sets: vs_concentration_method]" xr:uid="{6DD03BE6-96FF-43E1-9E2F-C132E2B8F3E2}"/>
    <hyperlink ref="E18" location="'Value Sets'!J1" display="[See Value Sets: vs_extraction_method]" xr:uid="{598152B3-67FC-45D8-9B87-9D11EFABA693}"/>
    <hyperlink ref="E35" location="'Value Sets'!AE1" display="[See Value Sets: vs_rec_eff_target_name]" xr:uid="{37233511-EA61-45C1-9D4E-B7698EE21BF4}"/>
    <hyperlink ref="E36" location="'Value Sets'!AB1" display="[See Value Sets: vs_rec_eff_spike_matrix]" xr:uid="{453613A7-BC5A-4347-A163-93F96D7E1501}"/>
    <hyperlink ref="E23" location="'Value Sets'!S1" display="[See Value Sets: vs_pcr_target]" xr:uid="{6D01EEE4-6DBC-4C52-88E4-94BCEECCF202}"/>
    <hyperlink ref="E24" location="'Value Sets'!V1" display="[See Value Sets: vs_pcr_gene_target]" xr:uid="{C2F2656E-4D6E-4BD8-8445-80B6B892B332}"/>
    <hyperlink ref="E17" location="'Value Sets'!Y1" display="[See Value Sets: vs_pcr_type]" xr:uid="{FF900520-EE2A-470A-A912-083A4F162224}"/>
    <hyperlink ref="E31" location="'Value Sets'!M1" display="[See Value Sets: vs_hum_frac_target_mic]" xr:uid="{3EFB34C9-B8E3-4EF0-B6FF-650A63D95604}"/>
    <hyperlink ref="E20" location="'Value Sets'!AZ1" display="[See Value Sets: vs_ynn]" xr:uid="{FE495E55-13E2-45FD-9FDF-C3949D22C59E}"/>
    <hyperlink ref="E33" location="'Value Sets'!P1" display="[See Value Sets: vs_mic_chem_units_e]" xr:uid="{D8324080-1336-46FB-AA58-28E53BBBAAA6}"/>
    <hyperlink ref="E26" location="'Value Sets'!BC1" display="[See Value Sets: vs_mic_chem_units]" xr:uid="{163AC5C5-5017-4F6F-B99D-67633568F115}"/>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A4B93-8B54-4E37-8ED6-870AFE8F78C0}">
  <dimension ref="A1:BD200"/>
  <sheetViews>
    <sheetView topLeftCell="S6" zoomScaleNormal="100" workbookViewId="0">
      <selection activeCell="U51" sqref="U51"/>
    </sheetView>
  </sheetViews>
  <sheetFormatPr defaultColWidth="8.54296875" defaultRowHeight="14.5" x14ac:dyDescent="0.35"/>
  <cols>
    <col min="1" max="1" width="29.453125" style="27" customWidth="1"/>
    <col min="2" max="2" width="23.54296875" style="27" bestFit="1" customWidth="1"/>
    <col min="3" max="4" width="8.54296875" style="27"/>
    <col min="5" max="5" width="14.54296875" style="27" bestFit="1" customWidth="1"/>
    <col min="6" max="6" width="12.54296875" style="27" customWidth="1"/>
    <col min="7" max="7" width="86.1796875" style="27" customWidth="1"/>
    <col min="8" max="8" width="10.453125" style="27" bestFit="1" customWidth="1"/>
    <col min="9" max="9" width="15.1796875" style="27" customWidth="1"/>
    <col min="10" max="10" width="98.81640625" style="27" bestFit="1" customWidth="1"/>
    <col min="11" max="11" width="10.453125" style="27" bestFit="1" customWidth="1"/>
    <col min="12" max="12" width="13.81640625" style="27" customWidth="1"/>
    <col min="13" max="13" width="24.81640625" style="27" customWidth="1"/>
    <col min="14" max="14" width="10.453125" style="27" bestFit="1" customWidth="1"/>
    <col min="15" max="15" width="15.1796875" style="27" customWidth="1"/>
    <col min="16" max="16" width="23.1796875" style="27" bestFit="1" customWidth="1"/>
    <col min="17" max="17" width="76.54296875" style="27" bestFit="1" customWidth="1"/>
    <col min="18" max="19" width="15.1796875" style="27" customWidth="1"/>
    <col min="20" max="20" width="46.81640625" style="27" customWidth="1"/>
    <col min="21" max="21" width="8.1796875" style="27" customWidth="1"/>
    <col min="22" max="22" width="21" style="27" customWidth="1"/>
    <col min="23" max="23" width="85.26953125" style="27" customWidth="1"/>
    <col min="24" max="24" width="15.1796875" style="27" customWidth="1"/>
    <col min="25" max="25" width="18.54296875" style="27" bestFit="1" customWidth="1"/>
    <col min="26" max="26" width="64.453125" style="27" bestFit="1" customWidth="1"/>
    <col min="27" max="27" width="15.1796875" style="27" customWidth="1"/>
    <col min="28" max="28" width="27.453125" style="27" bestFit="1" customWidth="1"/>
    <col min="29" max="29" width="10.453125" style="27" bestFit="1" customWidth="1"/>
    <col min="30" max="30" width="15.1796875" style="27" customWidth="1"/>
    <col min="31" max="31" width="30" style="27" bestFit="1" customWidth="1"/>
    <col min="32" max="32" width="10.453125" style="27" bestFit="1" customWidth="1"/>
    <col min="33" max="33" width="15.1796875" style="27" customWidth="1"/>
    <col min="34" max="34" width="17.453125" style="27" bestFit="1" customWidth="1"/>
    <col min="35" max="35" width="110.54296875" style="27" bestFit="1" customWidth="1"/>
    <col min="36" max="36" width="15.1796875" style="27" customWidth="1"/>
    <col min="37" max="37" width="22.81640625" style="27" customWidth="1"/>
    <col min="38" max="38" width="82.54296875" style="27" customWidth="1"/>
    <col min="39" max="39" width="15.1796875" style="27" customWidth="1"/>
    <col min="40" max="40" width="36.54296875" style="27" customWidth="1"/>
    <col min="41" max="41" width="72" style="27" customWidth="1"/>
    <col min="42" max="42" width="15.1796875" style="27" customWidth="1"/>
    <col min="43" max="43" width="18.81640625" style="27" bestFit="1" customWidth="1"/>
    <col min="44" max="44" width="38.54296875" style="27" bestFit="1" customWidth="1"/>
    <col min="45" max="45" width="15.1796875" style="27" customWidth="1"/>
    <col min="46" max="46" width="8.453125" style="27" bestFit="1" customWidth="1"/>
    <col min="47" max="47" width="10.453125" style="27" bestFit="1" customWidth="1"/>
    <col min="48" max="48" width="15.1796875" style="27" customWidth="1"/>
    <col min="49" max="49" width="13.26953125" style="27" customWidth="1"/>
    <col min="50" max="50" width="10.453125" style="27" bestFit="1" customWidth="1"/>
    <col min="51" max="51" width="15.1796875" style="27" customWidth="1"/>
    <col min="52" max="52" width="19.1796875" style="27" customWidth="1"/>
    <col min="53" max="53" width="10.453125" style="27" bestFit="1" customWidth="1"/>
    <col min="54" max="54" width="8.54296875" style="27"/>
    <col min="55" max="55" width="27.54296875" style="27" bestFit="1" customWidth="1"/>
    <col min="56" max="56" width="76.54296875" style="27" bestFit="1" customWidth="1"/>
    <col min="57" max="16384" width="8.54296875" style="27"/>
  </cols>
  <sheetData>
    <row r="1" spans="1:56" s="28" customFormat="1" x14ac:dyDescent="0.35">
      <c r="A1" s="28" t="s">
        <v>163</v>
      </c>
      <c r="B1" s="28" t="s">
        <v>164</v>
      </c>
      <c r="E1" s="28" t="s">
        <v>165</v>
      </c>
      <c r="G1" s="28" t="s">
        <v>166</v>
      </c>
      <c r="J1" s="28" t="s">
        <v>167</v>
      </c>
      <c r="M1" s="28" t="s">
        <v>168</v>
      </c>
      <c r="P1" s="28" t="s">
        <v>169</v>
      </c>
      <c r="S1" s="28" t="s">
        <v>170</v>
      </c>
      <c r="V1" s="28" t="s">
        <v>171</v>
      </c>
      <c r="Y1" s="28" t="s">
        <v>172</v>
      </c>
      <c r="AB1" s="28" t="s">
        <v>173</v>
      </c>
      <c r="AE1" s="28" t="s">
        <v>174</v>
      </c>
      <c r="AH1" s="28" t="s">
        <v>175</v>
      </c>
      <c r="AK1" s="28" t="s">
        <v>176</v>
      </c>
      <c r="AN1" s="28" t="s">
        <v>177</v>
      </c>
      <c r="AQ1" s="28" t="s">
        <v>178</v>
      </c>
      <c r="AT1" s="28" t="s">
        <v>179</v>
      </c>
      <c r="AW1" s="28" t="s">
        <v>180</v>
      </c>
      <c r="AZ1" s="28" t="s">
        <v>181</v>
      </c>
      <c r="BC1" s="28" t="s">
        <v>182</v>
      </c>
    </row>
    <row r="2" spans="1:56" s="29" customFormat="1" x14ac:dyDescent="0.35">
      <c r="A2" s="42"/>
      <c r="B2" s="42"/>
      <c r="G2" s="29" t="s">
        <v>38</v>
      </c>
      <c r="H2" s="29" t="s">
        <v>36</v>
      </c>
      <c r="J2" s="29" t="s">
        <v>38</v>
      </c>
      <c r="K2" s="29" t="s">
        <v>36</v>
      </c>
      <c r="M2" s="42" t="s">
        <v>38</v>
      </c>
      <c r="N2" s="42" t="s">
        <v>36</v>
      </c>
      <c r="P2" s="42" t="s">
        <v>38</v>
      </c>
      <c r="Q2" s="42" t="s">
        <v>36</v>
      </c>
      <c r="S2" s="42" t="s">
        <v>38</v>
      </c>
      <c r="T2" s="42" t="s">
        <v>36</v>
      </c>
      <c r="V2" s="42" t="s">
        <v>38</v>
      </c>
      <c r="W2" s="42" t="s">
        <v>36</v>
      </c>
      <c r="Y2" s="42" t="s">
        <v>38</v>
      </c>
      <c r="Z2" s="42" t="s">
        <v>36</v>
      </c>
      <c r="AB2" s="42" t="s">
        <v>38</v>
      </c>
      <c r="AC2" s="42" t="s">
        <v>36</v>
      </c>
      <c r="AE2" s="42" t="s">
        <v>38</v>
      </c>
      <c r="AF2" s="42" t="s">
        <v>36</v>
      </c>
      <c r="AH2" s="42" t="s">
        <v>38</v>
      </c>
      <c r="AI2" s="42" t="s">
        <v>36</v>
      </c>
      <c r="AK2" s="42" t="s">
        <v>38</v>
      </c>
      <c r="AL2" s="42" t="s">
        <v>36</v>
      </c>
      <c r="AN2" s="42" t="s">
        <v>38</v>
      </c>
      <c r="AO2" s="42" t="s">
        <v>36</v>
      </c>
      <c r="AP2" s="42"/>
      <c r="AQ2" s="42" t="s">
        <v>38</v>
      </c>
      <c r="AR2" s="42" t="s">
        <v>36</v>
      </c>
      <c r="AT2" s="42" t="s">
        <v>38</v>
      </c>
      <c r="AU2" s="42" t="s">
        <v>36</v>
      </c>
      <c r="AW2" s="42" t="s">
        <v>38</v>
      </c>
      <c r="AX2" s="42" t="s">
        <v>36</v>
      </c>
      <c r="AZ2" s="42" t="s">
        <v>38</v>
      </c>
      <c r="BA2" s="42" t="s">
        <v>36</v>
      </c>
      <c r="BC2" s="42" t="s">
        <v>38</v>
      </c>
      <c r="BD2" s="42" t="s">
        <v>36</v>
      </c>
    </row>
    <row r="3" spans="1:56" x14ac:dyDescent="0.35">
      <c r="A3" s="19" t="s">
        <v>80</v>
      </c>
      <c r="B3" s="19" t="s">
        <v>166</v>
      </c>
      <c r="G3" s="19" t="s">
        <v>183</v>
      </c>
      <c r="J3" s="19" t="s">
        <v>184</v>
      </c>
      <c r="M3" s="27" t="s">
        <v>185</v>
      </c>
      <c r="P3" s="27" t="s">
        <v>186</v>
      </c>
      <c r="S3" s="27" t="s">
        <v>187</v>
      </c>
      <c r="V3" s="27" t="s">
        <v>188</v>
      </c>
      <c r="W3" s="27" t="s">
        <v>189</v>
      </c>
      <c r="Y3" s="27" t="s">
        <v>190</v>
      </c>
      <c r="Z3" s="27" t="s">
        <v>191</v>
      </c>
      <c r="AB3" s="27" t="s">
        <v>192</v>
      </c>
      <c r="AE3" s="27" t="s">
        <v>193</v>
      </c>
      <c r="AF3" s="27" t="s">
        <v>194</v>
      </c>
      <c r="AH3" s="27" t="s">
        <v>195</v>
      </c>
      <c r="AI3" s="27" t="s">
        <v>196</v>
      </c>
      <c r="AK3" s="19" t="s">
        <v>197</v>
      </c>
      <c r="AL3" s="27" t="s">
        <v>198</v>
      </c>
      <c r="AN3" s="27" t="s">
        <v>199</v>
      </c>
      <c r="AO3" s="27" t="s">
        <v>200</v>
      </c>
      <c r="AQ3" s="27" t="s">
        <v>201</v>
      </c>
      <c r="AR3" s="27" t="s">
        <v>202</v>
      </c>
      <c r="AT3" s="27" t="s">
        <v>203</v>
      </c>
      <c r="AW3" s="27" t="s">
        <v>203</v>
      </c>
      <c r="AZ3" s="27" t="s">
        <v>203</v>
      </c>
      <c r="BC3" s="27" t="s">
        <v>186</v>
      </c>
    </row>
    <row r="4" spans="1:56" x14ac:dyDescent="0.35">
      <c r="A4" s="19" t="s">
        <v>88</v>
      </c>
      <c r="B4" s="19" t="s">
        <v>167</v>
      </c>
      <c r="G4" s="27" t="s">
        <v>204</v>
      </c>
      <c r="J4" s="27" t="s">
        <v>205</v>
      </c>
      <c r="M4" s="27" t="s">
        <v>206</v>
      </c>
      <c r="P4" s="27" t="s">
        <v>207</v>
      </c>
      <c r="Q4" s="27" t="s">
        <v>194</v>
      </c>
      <c r="S4" s="27" t="s">
        <v>208</v>
      </c>
      <c r="V4" s="27" t="s">
        <v>209</v>
      </c>
      <c r="W4" s="27" t="s">
        <v>210</v>
      </c>
      <c r="Y4" s="27" t="s">
        <v>211</v>
      </c>
      <c r="Z4" s="27" t="s">
        <v>212</v>
      </c>
      <c r="AB4" s="27" t="s">
        <v>213</v>
      </c>
      <c r="AE4" s="27" t="s">
        <v>214</v>
      </c>
      <c r="AF4" s="27" t="s">
        <v>194</v>
      </c>
      <c r="AH4" s="27" t="s">
        <v>215</v>
      </c>
      <c r="AI4" s="27" t="s">
        <v>216</v>
      </c>
      <c r="AK4" s="27" t="s">
        <v>217</v>
      </c>
      <c r="AL4" s="27" t="s">
        <v>218</v>
      </c>
      <c r="AN4" s="27" t="s">
        <v>219</v>
      </c>
      <c r="AQ4" s="27" t="s">
        <v>220</v>
      </c>
      <c r="AR4" s="27" t="s">
        <v>221</v>
      </c>
      <c r="AT4" s="27" t="s">
        <v>222</v>
      </c>
      <c r="AW4" s="27" t="s">
        <v>222</v>
      </c>
      <c r="AZ4" s="27" t="s">
        <v>222</v>
      </c>
      <c r="BC4" s="27" t="s">
        <v>207</v>
      </c>
      <c r="BD4" s="27" t="s">
        <v>194</v>
      </c>
    </row>
    <row r="5" spans="1:56" x14ac:dyDescent="0.35">
      <c r="A5" s="19" t="s">
        <v>133</v>
      </c>
      <c r="B5" s="19" t="s">
        <v>168</v>
      </c>
      <c r="G5" s="27" t="s">
        <v>223</v>
      </c>
      <c r="J5" s="27" t="s">
        <v>224</v>
      </c>
      <c r="M5" s="27" t="s">
        <v>225</v>
      </c>
      <c r="P5" s="27" t="s">
        <v>226</v>
      </c>
      <c r="Q5" s="27" t="s">
        <v>227</v>
      </c>
      <c r="S5" s="27" t="s">
        <v>228</v>
      </c>
      <c r="T5" t="s">
        <v>229</v>
      </c>
      <c r="V5" s="27" t="s">
        <v>230</v>
      </c>
      <c r="W5" s="27" t="s">
        <v>210</v>
      </c>
      <c r="Y5" s="27" t="s">
        <v>231</v>
      </c>
      <c r="AB5" s="27" t="s">
        <v>232</v>
      </c>
      <c r="AE5" s="27" t="s">
        <v>233</v>
      </c>
      <c r="AF5" s="27" t="s">
        <v>194</v>
      </c>
      <c r="AK5" s="27" t="s">
        <v>234</v>
      </c>
      <c r="AL5" s="27" t="s">
        <v>235</v>
      </c>
      <c r="AN5" s="27" t="s">
        <v>236</v>
      </c>
      <c r="AQ5" s="27" t="s">
        <v>237</v>
      </c>
      <c r="AR5" s="27" t="s">
        <v>238</v>
      </c>
      <c r="AW5" s="27" t="s">
        <v>239</v>
      </c>
      <c r="AZ5" s="27" t="s">
        <v>240</v>
      </c>
      <c r="BC5" s="27" t="s">
        <v>226</v>
      </c>
      <c r="BD5" s="27" t="s">
        <v>227</v>
      </c>
    </row>
    <row r="6" spans="1:56" x14ac:dyDescent="0.35">
      <c r="A6" s="19" t="s">
        <v>241</v>
      </c>
      <c r="B6" s="19" t="s">
        <v>169</v>
      </c>
      <c r="G6" s="27" t="s">
        <v>242</v>
      </c>
      <c r="J6" s="27" t="s">
        <v>243</v>
      </c>
      <c r="M6" s="27" t="s">
        <v>244</v>
      </c>
      <c r="P6" s="27" t="s">
        <v>245</v>
      </c>
      <c r="Q6" s="27" t="s">
        <v>227</v>
      </c>
      <c r="S6" s="27" t="s">
        <v>246</v>
      </c>
      <c r="V6" s="27" t="s">
        <v>247</v>
      </c>
      <c r="W6" s="27" t="s">
        <v>210</v>
      </c>
      <c r="Y6" s="27" t="s">
        <v>248</v>
      </c>
      <c r="AB6" s="27" t="s">
        <v>249</v>
      </c>
      <c r="AC6" s="27" t="s">
        <v>194</v>
      </c>
      <c r="AE6" s="27" t="s">
        <v>250</v>
      </c>
      <c r="AF6" s="27" t="s">
        <v>194</v>
      </c>
      <c r="AK6" s="27" t="s">
        <v>251</v>
      </c>
      <c r="AL6" s="27" t="s">
        <v>252</v>
      </c>
      <c r="AN6" s="27" t="s">
        <v>253</v>
      </c>
      <c r="AQ6" s="27" t="s">
        <v>254</v>
      </c>
      <c r="AR6" s="27" t="s">
        <v>255</v>
      </c>
      <c r="BC6" s="27" t="s">
        <v>245</v>
      </c>
      <c r="BD6" s="27" t="s">
        <v>227</v>
      </c>
    </row>
    <row r="7" spans="1:56" x14ac:dyDescent="0.35">
      <c r="A7" s="19" t="s">
        <v>142</v>
      </c>
      <c r="B7" s="30" t="s">
        <v>169</v>
      </c>
      <c r="G7" s="19" t="s">
        <v>256</v>
      </c>
      <c r="J7" s="27" t="s">
        <v>257</v>
      </c>
      <c r="M7" s="27" t="s">
        <v>258</v>
      </c>
      <c r="P7" s="27" t="s">
        <v>259</v>
      </c>
      <c r="Q7" s="27" t="s">
        <v>260</v>
      </c>
      <c r="S7" t="s">
        <v>261</v>
      </c>
      <c r="T7" t="s">
        <v>262</v>
      </c>
      <c r="V7" s="27" t="s">
        <v>263</v>
      </c>
      <c r="W7" s="27" t="s">
        <v>210</v>
      </c>
      <c r="Y7" s="27" t="s">
        <v>264</v>
      </c>
      <c r="AB7" s="27" t="s">
        <v>265</v>
      </c>
      <c r="AE7" s="27" t="s">
        <v>266</v>
      </c>
      <c r="AK7" s="27" t="s">
        <v>267</v>
      </c>
      <c r="AL7" s="27" t="s">
        <v>268</v>
      </c>
      <c r="AN7" s="27" t="s">
        <v>269</v>
      </c>
      <c r="AQ7" s="27" t="s">
        <v>270</v>
      </c>
      <c r="AR7" s="27" t="s">
        <v>271</v>
      </c>
      <c r="BC7" s="27" t="s">
        <v>259</v>
      </c>
      <c r="BD7" s="27" t="s">
        <v>260</v>
      </c>
    </row>
    <row r="8" spans="1:56" x14ac:dyDescent="0.35">
      <c r="A8" s="19" t="s">
        <v>103</v>
      </c>
      <c r="B8" s="19" t="s">
        <v>170</v>
      </c>
      <c r="G8" s="27" t="s">
        <v>272</v>
      </c>
      <c r="J8" s="27" t="s">
        <v>273</v>
      </c>
      <c r="M8" s="27" t="s">
        <v>274</v>
      </c>
      <c r="P8" s="27" t="s">
        <v>275</v>
      </c>
      <c r="Q8" s="27" t="s">
        <v>260</v>
      </c>
      <c r="S8" t="s">
        <v>276</v>
      </c>
      <c r="T8" t="s">
        <v>277</v>
      </c>
      <c r="V8" s="27" t="s">
        <v>278</v>
      </c>
      <c r="W8" s="27" t="s">
        <v>210</v>
      </c>
      <c r="Y8" s="27" t="s">
        <v>279</v>
      </c>
      <c r="AB8" s="27" t="s">
        <v>280</v>
      </c>
      <c r="AE8" s="27" t="s">
        <v>281</v>
      </c>
      <c r="AK8" s="27" t="s">
        <v>282</v>
      </c>
      <c r="AL8" s="27" t="s">
        <v>283</v>
      </c>
      <c r="AN8" s="27" t="s">
        <v>284</v>
      </c>
      <c r="AQ8" s="27" t="s">
        <v>285</v>
      </c>
      <c r="AR8" s="27" t="s">
        <v>286</v>
      </c>
      <c r="BC8" s="27" t="s">
        <v>275</v>
      </c>
      <c r="BD8" s="27" t="s">
        <v>260</v>
      </c>
    </row>
    <row r="9" spans="1:56" x14ac:dyDescent="0.35">
      <c r="A9" s="19" t="s">
        <v>287</v>
      </c>
      <c r="B9" s="19" t="s">
        <v>171</v>
      </c>
      <c r="G9" s="27" t="s">
        <v>288</v>
      </c>
      <c r="J9" s="27" t="s">
        <v>289</v>
      </c>
      <c r="M9" s="27" t="s">
        <v>239</v>
      </c>
      <c r="P9" s="27" t="s">
        <v>290</v>
      </c>
      <c r="S9" s="27" t="s">
        <v>291</v>
      </c>
      <c r="T9" s="27" t="s">
        <v>292</v>
      </c>
      <c r="V9" s="27" t="s">
        <v>293</v>
      </c>
      <c r="W9" s="27" t="s">
        <v>210</v>
      </c>
      <c r="Y9" s="27" t="s">
        <v>294</v>
      </c>
      <c r="Z9" s="27" t="s">
        <v>295</v>
      </c>
      <c r="AB9" s="27" t="s">
        <v>239</v>
      </c>
      <c r="AE9" s="27" t="s">
        <v>296</v>
      </c>
      <c r="AK9" s="27" t="s">
        <v>297</v>
      </c>
      <c r="AL9" s="27" t="s">
        <v>298</v>
      </c>
      <c r="AN9" s="27" t="s">
        <v>299</v>
      </c>
      <c r="AQ9" s="27" t="s">
        <v>300</v>
      </c>
      <c r="AR9" s="27" t="s">
        <v>301</v>
      </c>
      <c r="BC9" s="27" t="s">
        <v>290</v>
      </c>
      <c r="BD9" s="27" t="s">
        <v>194</v>
      </c>
    </row>
    <row r="10" spans="1:56" ht="87" x14ac:dyDescent="0.35">
      <c r="A10" s="19" t="s">
        <v>84</v>
      </c>
      <c r="B10" s="19" t="s">
        <v>172</v>
      </c>
      <c r="G10" s="27" t="s">
        <v>302</v>
      </c>
      <c r="J10" s="27" t="s">
        <v>303</v>
      </c>
      <c r="P10" s="27" t="s">
        <v>304</v>
      </c>
      <c r="S10" s="27" t="s">
        <v>305</v>
      </c>
      <c r="T10" s="46" t="s">
        <v>306</v>
      </c>
      <c r="V10" s="27" t="s">
        <v>307</v>
      </c>
      <c r="W10" s="27" t="s">
        <v>210</v>
      </c>
      <c r="AE10" s="27" t="s">
        <v>308</v>
      </c>
      <c r="AK10" s="27" t="s">
        <v>309</v>
      </c>
      <c r="AL10" s="27" t="s">
        <v>310</v>
      </c>
      <c r="AN10" s="27" t="s">
        <v>311</v>
      </c>
      <c r="AQ10" s="27" t="s">
        <v>312</v>
      </c>
      <c r="AR10" s="27" t="s">
        <v>313</v>
      </c>
      <c r="BC10" s="27" t="s">
        <v>304</v>
      </c>
    </row>
    <row r="11" spans="1:56" x14ac:dyDescent="0.35">
      <c r="A11" s="19" t="s">
        <v>154</v>
      </c>
      <c r="B11" s="19" t="s">
        <v>173</v>
      </c>
      <c r="G11" s="27" t="s">
        <v>314</v>
      </c>
      <c r="J11" s="27" t="s">
        <v>315</v>
      </c>
      <c r="P11" s="27" t="s">
        <v>316</v>
      </c>
      <c r="Q11" s="27" t="s">
        <v>227</v>
      </c>
      <c r="S11" s="27" t="s">
        <v>317</v>
      </c>
      <c r="T11" s="27" t="s">
        <v>318</v>
      </c>
      <c r="V11" s="27" t="s">
        <v>319</v>
      </c>
      <c r="W11" s="27" t="s">
        <v>210</v>
      </c>
      <c r="AE11" s="27" t="s">
        <v>320</v>
      </c>
      <c r="AN11" s="27" t="s">
        <v>321</v>
      </c>
      <c r="AQ11" s="27" t="s">
        <v>322</v>
      </c>
      <c r="AR11" s="27" t="s">
        <v>323</v>
      </c>
      <c r="BC11" s="27" t="s">
        <v>316</v>
      </c>
      <c r="BD11" s="27" t="s">
        <v>227</v>
      </c>
    </row>
    <row r="12" spans="1:56" x14ac:dyDescent="0.35">
      <c r="A12" s="19" t="s">
        <v>150</v>
      </c>
      <c r="B12" s="19" t="s">
        <v>174</v>
      </c>
      <c r="G12" s="27" t="s">
        <v>324</v>
      </c>
      <c r="J12" s="27" t="s">
        <v>325</v>
      </c>
      <c r="P12" s="27" t="s">
        <v>326</v>
      </c>
      <c r="Q12" s="27" t="s">
        <v>227</v>
      </c>
      <c r="V12" s="27" t="s">
        <v>327</v>
      </c>
      <c r="W12" s="27" t="s">
        <v>210</v>
      </c>
      <c r="AE12" s="27" t="s">
        <v>328</v>
      </c>
      <c r="AN12" s="27" t="s">
        <v>329</v>
      </c>
      <c r="AQ12" s="27" t="s">
        <v>330</v>
      </c>
      <c r="AR12" s="27" t="s">
        <v>331</v>
      </c>
      <c r="BC12" s="27" t="s">
        <v>326</v>
      </c>
      <c r="BD12" s="27" t="s">
        <v>227</v>
      </c>
    </row>
    <row r="13" spans="1:56" x14ac:dyDescent="0.35">
      <c r="A13" s="19" t="s">
        <v>73</v>
      </c>
      <c r="B13" s="19" t="s">
        <v>175</v>
      </c>
      <c r="G13" s="27" t="s">
        <v>332</v>
      </c>
      <c r="J13" s="27" t="s">
        <v>333</v>
      </c>
      <c r="P13" s="27" t="s">
        <v>334</v>
      </c>
      <c r="Q13" s="27" t="s">
        <v>260</v>
      </c>
      <c r="V13" s="27" t="s">
        <v>335</v>
      </c>
      <c r="W13" s="27" t="s">
        <v>210</v>
      </c>
      <c r="AE13" s="27" t="s">
        <v>336</v>
      </c>
      <c r="AN13" s="27" t="s">
        <v>337</v>
      </c>
      <c r="AQ13" s="27" t="s">
        <v>338</v>
      </c>
      <c r="AR13" s="27" t="s">
        <v>339</v>
      </c>
      <c r="BC13" s="27" t="s">
        <v>334</v>
      </c>
      <c r="BD13" s="27" t="s">
        <v>260</v>
      </c>
    </row>
    <row r="14" spans="1:56" x14ac:dyDescent="0.35">
      <c r="A14" s="19" t="s">
        <v>71</v>
      </c>
      <c r="B14" s="19" t="s">
        <v>176</v>
      </c>
      <c r="G14" s="27" t="s">
        <v>340</v>
      </c>
      <c r="J14" s="27" t="s">
        <v>341</v>
      </c>
      <c r="P14" s="27" t="s">
        <v>342</v>
      </c>
      <c r="Q14" s="27" t="s">
        <v>260</v>
      </c>
      <c r="V14" s="27" t="s">
        <v>343</v>
      </c>
      <c r="W14" s="27" t="s">
        <v>210</v>
      </c>
      <c r="AE14" s="27" t="s">
        <v>344</v>
      </c>
      <c r="AN14" s="27" t="s">
        <v>345</v>
      </c>
      <c r="AQ14" s="27" t="s">
        <v>346</v>
      </c>
      <c r="AR14" s="27" t="s">
        <v>347</v>
      </c>
      <c r="BC14" s="27" t="s">
        <v>342</v>
      </c>
      <c r="BD14" s="27" t="s">
        <v>260</v>
      </c>
    </row>
    <row r="15" spans="1:56" x14ac:dyDescent="0.35">
      <c r="A15" s="19" t="s">
        <v>69</v>
      </c>
      <c r="B15" s="19" t="s">
        <v>177</v>
      </c>
      <c r="G15" s="27" t="s">
        <v>348</v>
      </c>
      <c r="J15" s="27" t="s">
        <v>349</v>
      </c>
      <c r="P15" s="27" t="s">
        <v>239</v>
      </c>
      <c r="V15" s="27" t="s">
        <v>350</v>
      </c>
      <c r="W15" s="27" t="s">
        <v>210</v>
      </c>
      <c r="AE15" s="27" t="s">
        <v>351</v>
      </c>
      <c r="AN15" s="27" t="s">
        <v>352</v>
      </c>
      <c r="AQ15" s="27" t="s">
        <v>353</v>
      </c>
      <c r="AR15" s="27" t="s">
        <v>354</v>
      </c>
    </row>
    <row r="16" spans="1:56" x14ac:dyDescent="0.35">
      <c r="A16" s="19" t="s">
        <v>49</v>
      </c>
      <c r="B16" s="19" t="s">
        <v>178</v>
      </c>
      <c r="G16" s="27" t="s">
        <v>333</v>
      </c>
      <c r="J16" s="27" t="s">
        <v>355</v>
      </c>
      <c r="V16" s="27" t="s">
        <v>356</v>
      </c>
      <c r="W16" s="27" t="s">
        <v>210</v>
      </c>
      <c r="AE16" s="27" t="s">
        <v>357</v>
      </c>
      <c r="AN16" s="27" t="s">
        <v>358</v>
      </c>
      <c r="AQ16" s="27" t="s">
        <v>359</v>
      </c>
      <c r="AR16" s="27" t="s">
        <v>360</v>
      </c>
    </row>
    <row r="17" spans="1:44" x14ac:dyDescent="0.35">
      <c r="A17" s="19" t="s">
        <v>100</v>
      </c>
      <c r="B17" s="30" t="s">
        <v>179</v>
      </c>
      <c r="G17" s="27" t="s">
        <v>361</v>
      </c>
      <c r="J17" s="27" t="s">
        <v>362</v>
      </c>
      <c r="V17" s="27" t="s">
        <v>363</v>
      </c>
      <c r="W17" s="27" t="s">
        <v>364</v>
      </c>
      <c r="AE17" s="27" t="s">
        <v>365</v>
      </c>
      <c r="AN17" s="27" t="s">
        <v>366</v>
      </c>
      <c r="AQ17" s="27" t="s">
        <v>367</v>
      </c>
      <c r="AR17" s="27" t="s">
        <v>368</v>
      </c>
    </row>
    <row r="18" spans="1:44" x14ac:dyDescent="0.35">
      <c r="A18" s="19" t="s">
        <v>82</v>
      </c>
      <c r="B18" s="30" t="s">
        <v>180</v>
      </c>
      <c r="G18" s="27" t="s">
        <v>369</v>
      </c>
      <c r="J18" s="27" t="s">
        <v>370</v>
      </c>
      <c r="V18" s="27" t="s">
        <v>371</v>
      </c>
      <c r="W18" s="27" t="s">
        <v>210</v>
      </c>
      <c r="AE18" s="27" t="s">
        <v>239</v>
      </c>
      <c r="AN18" s="27" t="s">
        <v>372</v>
      </c>
      <c r="AQ18" s="27" t="s">
        <v>373</v>
      </c>
      <c r="AR18" s="27" t="s">
        <v>374</v>
      </c>
    </row>
    <row r="19" spans="1:44" x14ac:dyDescent="0.35">
      <c r="A19" s="19" t="s">
        <v>96</v>
      </c>
      <c r="B19" s="30" t="s">
        <v>180</v>
      </c>
      <c r="G19" s="27" t="s">
        <v>375</v>
      </c>
      <c r="J19" s="31" t="s">
        <v>376</v>
      </c>
      <c r="V19" s="27" t="s">
        <v>377</v>
      </c>
      <c r="W19" s="27" t="s">
        <v>210</v>
      </c>
      <c r="AN19" s="27" t="s">
        <v>378</v>
      </c>
      <c r="AQ19" s="27" t="s">
        <v>379</v>
      </c>
      <c r="AR19" s="27" t="s">
        <v>380</v>
      </c>
    </row>
    <row r="20" spans="1:44" x14ac:dyDescent="0.35">
      <c r="A20" s="19" t="s">
        <v>93</v>
      </c>
      <c r="B20" s="19" t="s">
        <v>181</v>
      </c>
      <c r="G20" t="s">
        <v>381</v>
      </c>
      <c r="J20" s="27" t="s">
        <v>382</v>
      </c>
      <c r="K20" s="19"/>
      <c r="V20" s="27" t="s">
        <v>383</v>
      </c>
      <c r="W20" s="27" t="s">
        <v>210</v>
      </c>
      <c r="AN20" s="27" t="s">
        <v>384</v>
      </c>
      <c r="AQ20" s="27" t="s">
        <v>385</v>
      </c>
      <c r="AR20" s="27" t="s">
        <v>386</v>
      </c>
    </row>
    <row r="21" spans="1:44" x14ac:dyDescent="0.35">
      <c r="G21" s="27" t="s">
        <v>387</v>
      </c>
      <c r="J21" s="27" t="s">
        <v>388</v>
      </c>
      <c r="V21" s="27" t="s">
        <v>389</v>
      </c>
      <c r="W21" s="27" t="s">
        <v>210</v>
      </c>
      <c r="AN21" s="27" t="s">
        <v>390</v>
      </c>
      <c r="AQ21" s="27" t="s">
        <v>391</v>
      </c>
      <c r="AR21" s="27" t="s">
        <v>392</v>
      </c>
    </row>
    <row r="22" spans="1:44" x14ac:dyDescent="0.35">
      <c r="G22" s="27" t="s">
        <v>393</v>
      </c>
      <c r="J22" t="s">
        <v>394</v>
      </c>
      <c r="L22" s="27" t="s">
        <v>194</v>
      </c>
      <c r="V22" s="27" t="s">
        <v>395</v>
      </c>
      <c r="W22" s="27" t="s">
        <v>210</v>
      </c>
      <c r="AN22" s="27" t="s">
        <v>396</v>
      </c>
      <c r="AQ22" s="27" t="s">
        <v>397</v>
      </c>
      <c r="AR22" s="27" t="s">
        <v>398</v>
      </c>
    </row>
    <row r="23" spans="1:44" x14ac:dyDescent="0.35">
      <c r="G23" s="27" t="s">
        <v>399</v>
      </c>
      <c r="J23" s="27" t="s">
        <v>399</v>
      </c>
      <c r="L23" s="27" t="s">
        <v>194</v>
      </c>
      <c r="V23" s="27" t="s">
        <v>400</v>
      </c>
      <c r="W23" s="27" t="s">
        <v>210</v>
      </c>
      <c r="AN23" s="27" t="s">
        <v>401</v>
      </c>
      <c r="AQ23" s="27" t="s">
        <v>402</v>
      </c>
      <c r="AR23" s="27" t="s">
        <v>403</v>
      </c>
    </row>
    <row r="24" spans="1:44" x14ac:dyDescent="0.35">
      <c r="G24" s="27" t="s">
        <v>404</v>
      </c>
      <c r="J24" s="27" t="s">
        <v>405</v>
      </c>
      <c r="V24" s="27" t="s">
        <v>406</v>
      </c>
      <c r="W24" s="27" t="s">
        <v>210</v>
      </c>
      <c r="AN24" s="27" t="s">
        <v>407</v>
      </c>
      <c r="AQ24" s="27" t="s">
        <v>408</v>
      </c>
      <c r="AR24" s="27" t="s">
        <v>409</v>
      </c>
    </row>
    <row r="25" spans="1:44" x14ac:dyDescent="0.35">
      <c r="G25" s="27" t="s">
        <v>410</v>
      </c>
      <c r="J25" s="27" t="s">
        <v>411</v>
      </c>
      <c r="V25" s="27" t="s">
        <v>412</v>
      </c>
      <c r="W25" s="27" t="s">
        <v>210</v>
      </c>
      <c r="AN25" s="27" t="s">
        <v>413</v>
      </c>
      <c r="AQ25" s="27" t="s">
        <v>414</v>
      </c>
      <c r="AR25" s="27" t="s">
        <v>415</v>
      </c>
    </row>
    <row r="26" spans="1:44" x14ac:dyDescent="0.35">
      <c r="G26" s="27" t="s">
        <v>416</v>
      </c>
      <c r="J26" s="32" t="s">
        <v>417</v>
      </c>
      <c r="V26" s="27" t="s">
        <v>418</v>
      </c>
      <c r="W26" s="27" t="s">
        <v>210</v>
      </c>
      <c r="AN26" s="27" t="s">
        <v>419</v>
      </c>
      <c r="AQ26" s="27" t="s">
        <v>420</v>
      </c>
      <c r="AR26" s="27" t="s">
        <v>421</v>
      </c>
    </row>
    <row r="27" spans="1:44" x14ac:dyDescent="0.35">
      <c r="J27" s="32" t="s">
        <v>422</v>
      </c>
      <c r="V27" s="31" t="s">
        <v>423</v>
      </c>
      <c r="W27" s="31" t="s">
        <v>424</v>
      </c>
      <c r="AN27" s="27" t="s">
        <v>425</v>
      </c>
      <c r="AQ27" s="27" t="s">
        <v>426</v>
      </c>
      <c r="AR27" s="27" t="s">
        <v>427</v>
      </c>
    </row>
    <row r="28" spans="1:44" x14ac:dyDescent="0.35">
      <c r="J28" s="33" t="s">
        <v>428</v>
      </c>
      <c r="V28" s="31" t="s">
        <v>429</v>
      </c>
      <c r="W28" s="31" t="s">
        <v>430</v>
      </c>
      <c r="AN28" s="27" t="s">
        <v>431</v>
      </c>
      <c r="AQ28" s="27" t="s">
        <v>432</v>
      </c>
      <c r="AR28" s="27" t="s">
        <v>433</v>
      </c>
    </row>
    <row r="29" spans="1:44" x14ac:dyDescent="0.35">
      <c r="J29" s="33" t="s">
        <v>434</v>
      </c>
      <c r="V29" s="31" t="s">
        <v>435</v>
      </c>
      <c r="W29" s="31" t="s">
        <v>436</v>
      </c>
      <c r="AN29" s="27" t="s">
        <v>437</v>
      </c>
      <c r="AQ29" s="27" t="s">
        <v>438</v>
      </c>
      <c r="AR29" s="27" t="s">
        <v>439</v>
      </c>
    </row>
    <row r="30" spans="1:44" x14ac:dyDescent="0.35">
      <c r="J30" s="27" t="s">
        <v>440</v>
      </c>
      <c r="V30" s="31" t="s">
        <v>441</v>
      </c>
      <c r="W30" s="31" t="s">
        <v>442</v>
      </c>
      <c r="AN30" s="27" t="s">
        <v>443</v>
      </c>
      <c r="AQ30" s="27" t="s">
        <v>444</v>
      </c>
      <c r="AR30" s="27" t="s">
        <v>445</v>
      </c>
    </row>
    <row r="31" spans="1:44" x14ac:dyDescent="0.35">
      <c r="J31" t="s">
        <v>446</v>
      </c>
      <c r="V31" s="31" t="s">
        <v>447</v>
      </c>
      <c r="W31" s="31" t="s">
        <v>448</v>
      </c>
      <c r="AN31" s="27" t="s">
        <v>449</v>
      </c>
      <c r="AQ31" s="27" t="s">
        <v>450</v>
      </c>
      <c r="AR31" s="27" t="s">
        <v>451</v>
      </c>
    </row>
    <row r="32" spans="1:44" x14ac:dyDescent="0.35">
      <c r="J32" s="27" t="s">
        <v>452</v>
      </c>
      <c r="V32" s="35" t="s">
        <v>453</v>
      </c>
      <c r="W32" s="35" t="s">
        <v>454</v>
      </c>
      <c r="AN32" s="27" t="s">
        <v>455</v>
      </c>
      <c r="AQ32" s="27" t="s">
        <v>456</v>
      </c>
      <c r="AR32" s="27" t="s">
        <v>457</v>
      </c>
    </row>
    <row r="33" spans="6:44" x14ac:dyDescent="0.35">
      <c r="J33" s="27" t="s">
        <v>458</v>
      </c>
      <c r="V33" t="s">
        <v>459</v>
      </c>
      <c r="W33" s="27" t="s">
        <v>460</v>
      </c>
      <c r="AN33" s="27" t="s">
        <v>461</v>
      </c>
      <c r="AQ33" s="27" t="s">
        <v>462</v>
      </c>
      <c r="AR33" s="27" t="s">
        <v>463</v>
      </c>
    </row>
    <row r="34" spans="6:44" x14ac:dyDescent="0.35">
      <c r="J34" s="27" t="s">
        <v>464</v>
      </c>
      <c r="V34" t="s">
        <v>465</v>
      </c>
      <c r="W34" s="27" t="s">
        <v>466</v>
      </c>
      <c r="AN34" s="27" t="s">
        <v>467</v>
      </c>
      <c r="AQ34" s="27" t="s">
        <v>468</v>
      </c>
      <c r="AR34" s="27" t="s">
        <v>469</v>
      </c>
    </row>
    <row r="35" spans="6:44" x14ac:dyDescent="0.35">
      <c r="J35" s="32" t="s">
        <v>470</v>
      </c>
      <c r="V35" t="s">
        <v>471</v>
      </c>
      <c r="W35" s="27" t="s">
        <v>472</v>
      </c>
      <c r="AN35" s="27" t="s">
        <v>473</v>
      </c>
      <c r="AQ35" s="27" t="s">
        <v>474</v>
      </c>
      <c r="AR35" s="27" t="s">
        <v>475</v>
      </c>
    </row>
    <row r="36" spans="6:44" x14ac:dyDescent="0.35">
      <c r="J36" s="27" t="s">
        <v>476</v>
      </c>
      <c r="V36" s="39" t="s">
        <v>477</v>
      </c>
      <c r="W36" s="27" t="s">
        <v>478</v>
      </c>
      <c r="AN36" s="27" t="s">
        <v>479</v>
      </c>
      <c r="AQ36" s="27" t="s">
        <v>480</v>
      </c>
      <c r="AR36" s="27" t="s">
        <v>481</v>
      </c>
    </row>
    <row r="37" spans="6:44" x14ac:dyDescent="0.35">
      <c r="J37" s="27" t="s">
        <v>482</v>
      </c>
      <c r="V37" s="27" t="s">
        <v>483</v>
      </c>
      <c r="W37" s="27" t="s">
        <v>484</v>
      </c>
      <c r="AN37" s="27" t="s">
        <v>485</v>
      </c>
      <c r="AQ37" s="27" t="s">
        <v>486</v>
      </c>
      <c r="AR37" s="27" t="s">
        <v>487</v>
      </c>
    </row>
    <row r="38" spans="6:44" x14ac:dyDescent="0.35">
      <c r="V38" s="27" t="s">
        <v>488</v>
      </c>
      <c r="W38" s="27" t="s">
        <v>489</v>
      </c>
      <c r="AN38" s="27" t="s">
        <v>490</v>
      </c>
      <c r="AQ38" s="27" t="s">
        <v>491</v>
      </c>
      <c r="AR38" s="27" t="s">
        <v>492</v>
      </c>
    </row>
    <row r="39" spans="6:44" x14ac:dyDescent="0.35">
      <c r="V39" s="27" t="s">
        <v>493</v>
      </c>
      <c r="W39" s="27" t="s">
        <v>494</v>
      </c>
      <c r="AN39" s="27" t="s">
        <v>495</v>
      </c>
      <c r="AQ39" s="27" t="s">
        <v>496</v>
      </c>
      <c r="AR39" s="27" t="s">
        <v>497</v>
      </c>
    </row>
    <row r="40" spans="6:44" x14ac:dyDescent="0.35">
      <c r="V40" s="27" t="s">
        <v>498</v>
      </c>
      <c r="W40" s="27" t="s">
        <v>499</v>
      </c>
      <c r="AN40" s="27" t="s">
        <v>500</v>
      </c>
      <c r="AQ40" s="27" t="s">
        <v>501</v>
      </c>
      <c r="AR40" s="27" t="s">
        <v>502</v>
      </c>
    </row>
    <row r="41" spans="6:44" x14ac:dyDescent="0.35">
      <c r="F41" s="27" t="s">
        <v>194</v>
      </c>
      <c r="V41" s="31" t="s">
        <v>503</v>
      </c>
      <c r="W41" t="s">
        <v>499</v>
      </c>
      <c r="AN41" s="27" t="s">
        <v>504</v>
      </c>
      <c r="AQ41" s="27" t="s">
        <v>505</v>
      </c>
      <c r="AR41" s="27" t="s">
        <v>506</v>
      </c>
    </row>
    <row r="42" spans="6:44" x14ac:dyDescent="0.35">
      <c r="F42" s="27" t="s">
        <v>194</v>
      </c>
      <c r="V42" s="44" t="s">
        <v>507</v>
      </c>
      <c r="W42" s="40" t="s">
        <v>508</v>
      </c>
      <c r="AN42" s="27" t="s">
        <v>509</v>
      </c>
      <c r="AQ42" s="27" t="s">
        <v>510</v>
      </c>
      <c r="AR42" s="27" t="s">
        <v>511</v>
      </c>
    </row>
    <row r="43" spans="6:44" x14ac:dyDescent="0.35">
      <c r="V43" s="44" t="s">
        <v>512</v>
      </c>
      <c r="W43" t="s">
        <v>513</v>
      </c>
      <c r="AN43" s="27" t="s">
        <v>514</v>
      </c>
      <c r="AQ43" s="27" t="s">
        <v>515</v>
      </c>
      <c r="AR43" s="27" t="s">
        <v>516</v>
      </c>
    </row>
    <row r="44" spans="6:44" ht="58" x14ac:dyDescent="0.35">
      <c r="V44" s="41" t="s">
        <v>517</v>
      </c>
      <c r="W44" s="41" t="s">
        <v>518</v>
      </c>
      <c r="AN44" s="27" t="s">
        <v>519</v>
      </c>
      <c r="AQ44" s="27" t="s">
        <v>520</v>
      </c>
      <c r="AR44" s="27" t="s">
        <v>521</v>
      </c>
    </row>
    <row r="45" spans="6:44" x14ac:dyDescent="0.35">
      <c r="V45" s="27" t="s">
        <v>522</v>
      </c>
      <c r="W45" s="49" t="s">
        <v>523</v>
      </c>
      <c r="AN45" s="27" t="s">
        <v>524</v>
      </c>
      <c r="AQ45" s="27" t="s">
        <v>525</v>
      </c>
      <c r="AR45" s="27" t="s">
        <v>526</v>
      </c>
    </row>
    <row r="46" spans="6:44" ht="116" x14ac:dyDescent="0.35">
      <c r="V46" s="41" t="s">
        <v>527</v>
      </c>
      <c r="W46" s="41" t="s">
        <v>528</v>
      </c>
      <c r="AN46" s="27" t="s">
        <v>529</v>
      </c>
      <c r="AQ46" s="27" t="s">
        <v>530</v>
      </c>
      <c r="AR46" s="27" t="s">
        <v>531</v>
      </c>
    </row>
    <row r="47" spans="6:44" ht="29" x14ac:dyDescent="0.35">
      <c r="V47" s="50" t="s">
        <v>532</v>
      </c>
      <c r="W47" s="50" t="s">
        <v>533</v>
      </c>
      <c r="AN47" s="27" t="s">
        <v>534</v>
      </c>
      <c r="AQ47" s="27" t="s">
        <v>535</v>
      </c>
      <c r="AR47" s="27" t="s">
        <v>536</v>
      </c>
    </row>
    <row r="48" spans="6:44" ht="29" x14ac:dyDescent="0.35">
      <c r="V48" s="50" t="s">
        <v>537</v>
      </c>
      <c r="W48" s="50" t="s">
        <v>538</v>
      </c>
      <c r="AN48" s="27" t="s">
        <v>539</v>
      </c>
      <c r="AQ48" s="27" t="s">
        <v>540</v>
      </c>
      <c r="AR48" s="27" t="s">
        <v>541</v>
      </c>
    </row>
    <row r="49" spans="22:44" x14ac:dyDescent="0.35">
      <c r="V49" s="27" t="s">
        <v>542</v>
      </c>
      <c r="W49" s="27" t="s">
        <v>543</v>
      </c>
      <c r="AN49" s="27" t="s">
        <v>544</v>
      </c>
      <c r="AQ49" s="27" t="s">
        <v>545</v>
      </c>
      <c r="AR49" s="27" t="s">
        <v>546</v>
      </c>
    </row>
    <row r="50" spans="22:44" x14ac:dyDescent="0.35">
      <c r="V50" s="27" t="s">
        <v>547</v>
      </c>
      <c r="W50" s="27" t="s">
        <v>548</v>
      </c>
      <c r="AN50" s="27" t="s">
        <v>549</v>
      </c>
      <c r="AQ50" s="27" t="s">
        <v>550</v>
      </c>
      <c r="AR50" s="27" t="s">
        <v>551</v>
      </c>
    </row>
    <row r="51" spans="22:44" x14ac:dyDescent="0.35">
      <c r="V51" s="27" t="s">
        <v>552</v>
      </c>
      <c r="W51" s="27" t="s">
        <v>553</v>
      </c>
      <c r="AN51" s="27" t="s">
        <v>554</v>
      </c>
      <c r="AQ51" s="27" t="s">
        <v>555</v>
      </c>
      <c r="AR51" s="27" t="s">
        <v>556</v>
      </c>
    </row>
    <row r="52" spans="22:44" ht="43.5" x14ac:dyDescent="0.35">
      <c r="V52" s="41" t="s">
        <v>557</v>
      </c>
      <c r="W52" s="41" t="s">
        <v>558</v>
      </c>
      <c r="AN52" s="27" t="s">
        <v>559</v>
      </c>
      <c r="AQ52" s="27" t="s">
        <v>560</v>
      </c>
      <c r="AR52" s="27" t="s">
        <v>561</v>
      </c>
    </row>
    <row r="53" spans="22:44" ht="29" x14ac:dyDescent="0.35">
      <c r="V53" s="41" t="s">
        <v>562</v>
      </c>
      <c r="W53" s="41" t="s">
        <v>563</v>
      </c>
      <c r="AN53" s="27" t="s">
        <v>564</v>
      </c>
      <c r="AQ53" s="27" t="s">
        <v>565</v>
      </c>
      <c r="AR53" s="27" t="s">
        <v>566</v>
      </c>
    </row>
    <row r="54" spans="22:44" x14ac:dyDescent="0.35">
      <c r="AN54" s="27" t="s">
        <v>567</v>
      </c>
      <c r="AQ54" s="27" t="s">
        <v>568</v>
      </c>
      <c r="AR54" s="27" t="s">
        <v>569</v>
      </c>
    </row>
    <row r="55" spans="22:44" x14ac:dyDescent="0.35">
      <c r="AN55" s="27" t="s">
        <v>570</v>
      </c>
      <c r="AQ55" s="27" t="s">
        <v>571</v>
      </c>
      <c r="AR55" s="27" t="s">
        <v>572</v>
      </c>
    </row>
    <row r="56" spans="22:44" x14ac:dyDescent="0.35">
      <c r="AN56" s="27" t="s">
        <v>573</v>
      </c>
      <c r="AQ56" s="27" t="s">
        <v>574</v>
      </c>
      <c r="AR56" s="27" t="s">
        <v>575</v>
      </c>
    </row>
    <row r="57" spans="22:44" x14ac:dyDescent="0.35">
      <c r="AN57" s="27" t="s">
        <v>576</v>
      </c>
      <c r="AQ57" s="27" t="s">
        <v>577</v>
      </c>
      <c r="AR57" s="27" t="s">
        <v>578</v>
      </c>
    </row>
    <row r="58" spans="22:44" x14ac:dyDescent="0.35">
      <c r="AN58" s="27" t="s">
        <v>579</v>
      </c>
      <c r="AQ58" s="27" t="s">
        <v>580</v>
      </c>
      <c r="AR58" s="27" t="s">
        <v>581</v>
      </c>
    </row>
    <row r="59" spans="22:44" x14ac:dyDescent="0.35">
      <c r="AN59" s="27" t="s">
        <v>582</v>
      </c>
      <c r="AQ59" s="27" t="s">
        <v>583</v>
      </c>
      <c r="AR59" s="27" t="s">
        <v>584</v>
      </c>
    </row>
    <row r="60" spans="22:44" x14ac:dyDescent="0.35">
      <c r="AN60" s="27" t="s">
        <v>585</v>
      </c>
      <c r="AQ60" s="27" t="s">
        <v>586</v>
      </c>
      <c r="AR60" s="27" t="s">
        <v>587</v>
      </c>
    </row>
    <row r="61" spans="22:44" x14ac:dyDescent="0.35">
      <c r="AN61" s="27" t="s">
        <v>588</v>
      </c>
      <c r="AQ61" s="27" t="s">
        <v>589</v>
      </c>
      <c r="AR61" s="27" t="s">
        <v>590</v>
      </c>
    </row>
    <row r="62" spans="22:44" x14ac:dyDescent="0.35">
      <c r="AN62" s="27" t="s">
        <v>591</v>
      </c>
    </row>
    <row r="63" spans="22:44" x14ac:dyDescent="0.35">
      <c r="AN63" s="27" t="s">
        <v>592</v>
      </c>
    </row>
    <row r="64" spans="22:44" x14ac:dyDescent="0.35">
      <c r="AN64" s="27" t="s">
        <v>593</v>
      </c>
    </row>
    <row r="65" spans="40:40" x14ac:dyDescent="0.35">
      <c r="AN65" s="27" t="s">
        <v>594</v>
      </c>
    </row>
    <row r="66" spans="40:40" x14ac:dyDescent="0.35">
      <c r="AN66" s="27" t="s">
        <v>595</v>
      </c>
    </row>
    <row r="67" spans="40:40" x14ac:dyDescent="0.35">
      <c r="AN67" s="27" t="s">
        <v>596</v>
      </c>
    </row>
    <row r="68" spans="40:40" x14ac:dyDescent="0.35">
      <c r="AN68" s="27" t="s">
        <v>597</v>
      </c>
    </row>
    <row r="69" spans="40:40" x14ac:dyDescent="0.35">
      <c r="AN69" s="27" t="s">
        <v>598</v>
      </c>
    </row>
    <row r="70" spans="40:40" x14ac:dyDescent="0.35">
      <c r="AN70" s="27" t="s">
        <v>599</v>
      </c>
    </row>
    <row r="71" spans="40:40" x14ac:dyDescent="0.35">
      <c r="AN71" s="27" t="s">
        <v>600</v>
      </c>
    </row>
    <row r="72" spans="40:40" x14ac:dyDescent="0.35">
      <c r="AN72" s="27" t="s">
        <v>601</v>
      </c>
    </row>
    <row r="73" spans="40:40" x14ac:dyDescent="0.35">
      <c r="AN73" s="27" t="s">
        <v>602</v>
      </c>
    </row>
    <row r="74" spans="40:40" x14ac:dyDescent="0.35">
      <c r="AN74" s="27" t="s">
        <v>603</v>
      </c>
    </row>
    <row r="75" spans="40:40" x14ac:dyDescent="0.35">
      <c r="AN75" s="27" t="s">
        <v>604</v>
      </c>
    </row>
    <row r="76" spans="40:40" x14ac:dyDescent="0.35">
      <c r="AN76" s="27" t="s">
        <v>605</v>
      </c>
    </row>
    <row r="77" spans="40:40" x14ac:dyDescent="0.35">
      <c r="AN77" s="27" t="s">
        <v>606</v>
      </c>
    </row>
    <row r="78" spans="40:40" x14ac:dyDescent="0.35">
      <c r="AN78" s="27" t="s">
        <v>607</v>
      </c>
    </row>
    <row r="79" spans="40:40" x14ac:dyDescent="0.35">
      <c r="AN79" s="27" t="s">
        <v>608</v>
      </c>
    </row>
    <row r="80" spans="40:40" x14ac:dyDescent="0.35">
      <c r="AN80" s="27" t="s">
        <v>609</v>
      </c>
    </row>
    <row r="81" spans="40:40" x14ac:dyDescent="0.35">
      <c r="AN81" s="27" t="s">
        <v>610</v>
      </c>
    </row>
    <row r="82" spans="40:40" x14ac:dyDescent="0.35">
      <c r="AN82" s="27" t="s">
        <v>611</v>
      </c>
    </row>
    <row r="83" spans="40:40" x14ac:dyDescent="0.35">
      <c r="AN83" s="27" t="s">
        <v>612</v>
      </c>
    </row>
    <row r="84" spans="40:40" x14ac:dyDescent="0.35">
      <c r="AN84" s="27" t="s">
        <v>613</v>
      </c>
    </row>
    <row r="85" spans="40:40" x14ac:dyDescent="0.35">
      <c r="AN85" s="27" t="s">
        <v>614</v>
      </c>
    </row>
    <row r="86" spans="40:40" x14ac:dyDescent="0.35">
      <c r="AN86" s="27" t="s">
        <v>615</v>
      </c>
    </row>
    <row r="87" spans="40:40" x14ac:dyDescent="0.35">
      <c r="AN87" s="27" t="s">
        <v>616</v>
      </c>
    </row>
    <row r="88" spans="40:40" x14ac:dyDescent="0.35">
      <c r="AN88" s="27" t="s">
        <v>617</v>
      </c>
    </row>
    <row r="89" spans="40:40" x14ac:dyDescent="0.35">
      <c r="AN89" s="27" t="s">
        <v>618</v>
      </c>
    </row>
    <row r="90" spans="40:40" x14ac:dyDescent="0.35">
      <c r="AN90" s="27" t="s">
        <v>619</v>
      </c>
    </row>
    <row r="91" spans="40:40" x14ac:dyDescent="0.35">
      <c r="AN91" s="27" t="s">
        <v>620</v>
      </c>
    </row>
    <row r="92" spans="40:40" x14ac:dyDescent="0.35">
      <c r="AN92" s="27" t="s">
        <v>621</v>
      </c>
    </row>
    <row r="93" spans="40:40" x14ac:dyDescent="0.35">
      <c r="AN93" s="27" t="s">
        <v>622</v>
      </c>
    </row>
    <row r="94" spans="40:40" x14ac:dyDescent="0.35">
      <c r="AN94" s="27" t="s">
        <v>623</v>
      </c>
    </row>
    <row r="95" spans="40:40" x14ac:dyDescent="0.35">
      <c r="AN95" s="27" t="s">
        <v>624</v>
      </c>
    </row>
    <row r="96" spans="40:40" x14ac:dyDescent="0.35">
      <c r="AN96" s="27" t="s">
        <v>625</v>
      </c>
    </row>
    <row r="97" spans="40:40" x14ac:dyDescent="0.35">
      <c r="AN97" s="27" t="s">
        <v>626</v>
      </c>
    </row>
    <row r="98" spans="40:40" x14ac:dyDescent="0.35">
      <c r="AN98" s="27" t="s">
        <v>627</v>
      </c>
    </row>
    <row r="99" spans="40:40" x14ac:dyDescent="0.35">
      <c r="AN99" s="27" t="s">
        <v>628</v>
      </c>
    </row>
    <row r="100" spans="40:40" x14ac:dyDescent="0.35">
      <c r="AN100" s="27" t="s">
        <v>629</v>
      </c>
    </row>
    <row r="101" spans="40:40" x14ac:dyDescent="0.35">
      <c r="AN101" s="27" t="s">
        <v>630</v>
      </c>
    </row>
    <row r="102" spans="40:40" x14ac:dyDescent="0.35">
      <c r="AN102" s="27" t="s">
        <v>631</v>
      </c>
    </row>
    <row r="103" spans="40:40" x14ac:dyDescent="0.35">
      <c r="AN103" s="27" t="s">
        <v>632</v>
      </c>
    </row>
    <row r="104" spans="40:40" x14ac:dyDescent="0.35">
      <c r="AN104" s="27" t="s">
        <v>633</v>
      </c>
    </row>
    <row r="105" spans="40:40" x14ac:dyDescent="0.35">
      <c r="AN105" s="27" t="s">
        <v>634</v>
      </c>
    </row>
    <row r="106" spans="40:40" x14ac:dyDescent="0.35">
      <c r="AN106" s="27" t="s">
        <v>635</v>
      </c>
    </row>
    <row r="107" spans="40:40" x14ac:dyDescent="0.35">
      <c r="AN107" s="27" t="s">
        <v>636</v>
      </c>
    </row>
    <row r="108" spans="40:40" x14ac:dyDescent="0.35">
      <c r="AN108" s="27" t="s">
        <v>637</v>
      </c>
    </row>
    <row r="109" spans="40:40" x14ac:dyDescent="0.35">
      <c r="AN109" s="27" t="s">
        <v>638</v>
      </c>
    </row>
    <row r="110" spans="40:40" x14ac:dyDescent="0.35">
      <c r="AN110" s="27" t="s">
        <v>639</v>
      </c>
    </row>
    <row r="111" spans="40:40" x14ac:dyDescent="0.35">
      <c r="AN111" s="27" t="s">
        <v>640</v>
      </c>
    </row>
    <row r="112" spans="40:40" x14ac:dyDescent="0.35">
      <c r="AN112" s="27" t="s">
        <v>641</v>
      </c>
    </row>
    <row r="113" spans="40:41" x14ac:dyDescent="0.35">
      <c r="AN113" s="27" t="s">
        <v>642</v>
      </c>
    </row>
    <row r="114" spans="40:41" x14ac:dyDescent="0.35">
      <c r="AN114" s="27" t="s">
        <v>643</v>
      </c>
    </row>
    <row r="115" spans="40:41" x14ac:dyDescent="0.35">
      <c r="AN115" s="27" t="s">
        <v>644</v>
      </c>
    </row>
    <row r="116" spans="40:41" x14ac:dyDescent="0.35">
      <c r="AN116" s="27" t="s">
        <v>645</v>
      </c>
    </row>
    <row r="117" spans="40:41" x14ac:dyDescent="0.35">
      <c r="AN117" s="27" t="s">
        <v>646</v>
      </c>
    </row>
    <row r="118" spans="40:41" x14ac:dyDescent="0.35">
      <c r="AN118" s="27" t="s">
        <v>647</v>
      </c>
    </row>
    <row r="119" spans="40:41" x14ac:dyDescent="0.35">
      <c r="AN119" s="27" t="s">
        <v>648</v>
      </c>
    </row>
    <row r="120" spans="40:41" x14ac:dyDescent="0.35">
      <c r="AN120" s="27" t="s">
        <v>649</v>
      </c>
    </row>
    <row r="121" spans="40:41" x14ac:dyDescent="0.35">
      <c r="AN121" s="27" t="s">
        <v>650</v>
      </c>
    </row>
    <row r="122" spans="40:41" x14ac:dyDescent="0.35">
      <c r="AN122" s="27" t="s">
        <v>651</v>
      </c>
      <c r="AO122" s="34"/>
    </row>
    <row r="123" spans="40:41" x14ac:dyDescent="0.35">
      <c r="AN123" s="27" t="s">
        <v>652</v>
      </c>
      <c r="AO123" s="34"/>
    </row>
    <row r="124" spans="40:41" x14ac:dyDescent="0.35">
      <c r="AN124" s="27" t="s">
        <v>653</v>
      </c>
      <c r="AO124" s="34"/>
    </row>
    <row r="125" spans="40:41" x14ac:dyDescent="0.35">
      <c r="AN125" s="27" t="s">
        <v>654</v>
      </c>
      <c r="AO125" s="34"/>
    </row>
    <row r="126" spans="40:41" x14ac:dyDescent="0.35">
      <c r="AN126" s="27" t="s">
        <v>655</v>
      </c>
      <c r="AO126" s="34"/>
    </row>
    <row r="127" spans="40:41" x14ac:dyDescent="0.35">
      <c r="AN127" s="27" t="s">
        <v>656</v>
      </c>
      <c r="AO127" s="34"/>
    </row>
    <row r="128" spans="40:41" x14ac:dyDescent="0.35">
      <c r="AN128" s="27" t="s">
        <v>657</v>
      </c>
      <c r="AO128" s="34"/>
    </row>
    <row r="129" spans="40:41" x14ac:dyDescent="0.35">
      <c r="AN129" s="27" t="s">
        <v>658</v>
      </c>
      <c r="AO129" s="34"/>
    </row>
    <row r="130" spans="40:41" x14ac:dyDescent="0.35">
      <c r="AN130" s="27" t="s">
        <v>659</v>
      </c>
      <c r="AO130" s="34"/>
    </row>
    <row r="131" spans="40:41" x14ac:dyDescent="0.35">
      <c r="AN131" s="27" t="s">
        <v>660</v>
      </c>
      <c r="AO131" s="34"/>
    </row>
    <row r="132" spans="40:41" x14ac:dyDescent="0.35">
      <c r="AN132" s="27" t="s">
        <v>661</v>
      </c>
      <c r="AO132" s="34"/>
    </row>
    <row r="133" spans="40:41" x14ac:dyDescent="0.35">
      <c r="AN133" s="27" t="s">
        <v>662</v>
      </c>
      <c r="AO133" s="34"/>
    </row>
    <row r="134" spans="40:41" x14ac:dyDescent="0.35">
      <c r="AN134" s="27" t="s">
        <v>663</v>
      </c>
      <c r="AO134" s="34"/>
    </row>
    <row r="135" spans="40:41" x14ac:dyDescent="0.35">
      <c r="AN135" s="27" t="s">
        <v>664</v>
      </c>
      <c r="AO135" s="34"/>
    </row>
    <row r="136" spans="40:41" x14ac:dyDescent="0.35">
      <c r="AN136" s="27" t="s">
        <v>665</v>
      </c>
      <c r="AO136" s="34"/>
    </row>
    <row r="137" spans="40:41" x14ac:dyDescent="0.35">
      <c r="AN137" s="27" t="s">
        <v>666</v>
      </c>
      <c r="AO137" s="34"/>
    </row>
    <row r="138" spans="40:41" x14ac:dyDescent="0.35">
      <c r="AN138" s="27" t="s">
        <v>667</v>
      </c>
      <c r="AO138" s="34"/>
    </row>
    <row r="139" spans="40:41" x14ac:dyDescent="0.35">
      <c r="AN139" s="27" t="s">
        <v>668</v>
      </c>
      <c r="AO139" s="34"/>
    </row>
    <row r="140" spans="40:41" x14ac:dyDescent="0.35">
      <c r="AN140" s="27" t="s">
        <v>669</v>
      </c>
      <c r="AO140" s="34"/>
    </row>
    <row r="141" spans="40:41" x14ac:dyDescent="0.35">
      <c r="AN141" s="27" t="s">
        <v>670</v>
      </c>
      <c r="AO141" s="34"/>
    </row>
    <row r="142" spans="40:41" x14ac:dyDescent="0.35">
      <c r="AN142" s="27" t="s">
        <v>671</v>
      </c>
      <c r="AO142" s="34"/>
    </row>
    <row r="143" spans="40:41" x14ac:dyDescent="0.35">
      <c r="AN143" s="27" t="s">
        <v>672</v>
      </c>
      <c r="AO143" s="34"/>
    </row>
    <row r="144" spans="40:41" x14ac:dyDescent="0.35">
      <c r="AN144" s="27" t="s">
        <v>673</v>
      </c>
      <c r="AO144" s="34"/>
    </row>
    <row r="145" spans="40:41" x14ac:dyDescent="0.35">
      <c r="AN145" s="27" t="s">
        <v>674</v>
      </c>
      <c r="AO145" s="34"/>
    </row>
    <row r="146" spans="40:41" x14ac:dyDescent="0.35">
      <c r="AN146" s="27" t="s">
        <v>675</v>
      </c>
      <c r="AO146" s="34"/>
    </row>
    <row r="147" spans="40:41" x14ac:dyDescent="0.35">
      <c r="AN147" s="27" t="s">
        <v>676</v>
      </c>
      <c r="AO147" s="34"/>
    </row>
    <row r="148" spans="40:41" x14ac:dyDescent="0.35">
      <c r="AN148" s="27" t="s">
        <v>677</v>
      </c>
      <c r="AO148" s="34"/>
    </row>
    <row r="149" spans="40:41" x14ac:dyDescent="0.35">
      <c r="AN149" s="27" t="s">
        <v>678</v>
      </c>
      <c r="AO149" s="34"/>
    </row>
    <row r="150" spans="40:41" x14ac:dyDescent="0.35">
      <c r="AN150" s="27" t="s">
        <v>679</v>
      </c>
      <c r="AO150" s="34"/>
    </row>
    <row r="151" spans="40:41" x14ac:dyDescent="0.35">
      <c r="AN151" s="27" t="s">
        <v>680</v>
      </c>
      <c r="AO151" s="34" t="s">
        <v>681</v>
      </c>
    </row>
    <row r="152" spans="40:41" x14ac:dyDescent="0.35">
      <c r="AN152" s="27" t="s">
        <v>682</v>
      </c>
      <c r="AO152" s="34" t="s">
        <v>681</v>
      </c>
    </row>
    <row r="153" spans="40:41" x14ac:dyDescent="0.35">
      <c r="AN153" s="27" t="s">
        <v>683</v>
      </c>
      <c r="AO153" s="34" t="s">
        <v>681</v>
      </c>
    </row>
    <row r="154" spans="40:41" x14ac:dyDescent="0.35">
      <c r="AN154" s="27" t="s">
        <v>684</v>
      </c>
      <c r="AO154" s="34" t="s">
        <v>681</v>
      </c>
    </row>
    <row r="155" spans="40:41" x14ac:dyDescent="0.35">
      <c r="AN155" s="27" t="s">
        <v>685</v>
      </c>
      <c r="AO155" s="34" t="s">
        <v>681</v>
      </c>
    </row>
    <row r="156" spans="40:41" x14ac:dyDescent="0.35">
      <c r="AN156" s="27" t="s">
        <v>686</v>
      </c>
      <c r="AO156" s="34" t="s">
        <v>681</v>
      </c>
    </row>
    <row r="157" spans="40:41" x14ac:dyDescent="0.35">
      <c r="AN157" s="27" t="s">
        <v>687</v>
      </c>
      <c r="AO157" s="34" t="s">
        <v>681</v>
      </c>
    </row>
    <row r="158" spans="40:41" x14ac:dyDescent="0.35">
      <c r="AN158" s="27" t="s">
        <v>688</v>
      </c>
      <c r="AO158" s="34" t="s">
        <v>681</v>
      </c>
    </row>
    <row r="159" spans="40:41" x14ac:dyDescent="0.35">
      <c r="AN159" s="27" t="s">
        <v>689</v>
      </c>
      <c r="AO159" s="34" t="s">
        <v>681</v>
      </c>
    </row>
    <row r="160" spans="40:41" x14ac:dyDescent="0.35">
      <c r="AN160" s="27" t="s">
        <v>690</v>
      </c>
      <c r="AO160" s="34" t="s">
        <v>681</v>
      </c>
    </row>
    <row r="161" spans="40:41" x14ac:dyDescent="0.35">
      <c r="AN161" s="27" t="s">
        <v>691</v>
      </c>
      <c r="AO161" s="34" t="s">
        <v>681</v>
      </c>
    </row>
    <row r="162" spans="40:41" x14ac:dyDescent="0.35">
      <c r="AN162" s="27" t="s">
        <v>692</v>
      </c>
      <c r="AO162" s="34" t="s">
        <v>681</v>
      </c>
    </row>
    <row r="163" spans="40:41" x14ac:dyDescent="0.35">
      <c r="AN163" s="27" t="s">
        <v>693</v>
      </c>
      <c r="AO163" s="34" t="s">
        <v>681</v>
      </c>
    </row>
    <row r="164" spans="40:41" x14ac:dyDescent="0.35">
      <c r="AN164" s="27" t="s">
        <v>694</v>
      </c>
      <c r="AO164" s="34" t="s">
        <v>681</v>
      </c>
    </row>
    <row r="165" spans="40:41" x14ac:dyDescent="0.35">
      <c r="AN165" s="27" t="s">
        <v>695</v>
      </c>
      <c r="AO165" s="34" t="s">
        <v>681</v>
      </c>
    </row>
    <row r="166" spans="40:41" x14ac:dyDescent="0.35">
      <c r="AN166" s="27" t="s">
        <v>696</v>
      </c>
      <c r="AO166" s="34" t="s">
        <v>681</v>
      </c>
    </row>
    <row r="167" spans="40:41" x14ac:dyDescent="0.35">
      <c r="AN167" s="27" t="s">
        <v>697</v>
      </c>
      <c r="AO167" s="34" t="s">
        <v>681</v>
      </c>
    </row>
    <row r="168" spans="40:41" x14ac:dyDescent="0.35">
      <c r="AN168" s="27" t="s">
        <v>698</v>
      </c>
      <c r="AO168" s="34" t="s">
        <v>681</v>
      </c>
    </row>
    <row r="169" spans="40:41" x14ac:dyDescent="0.35">
      <c r="AN169" s="27" t="s">
        <v>699</v>
      </c>
      <c r="AO169" s="34" t="s">
        <v>681</v>
      </c>
    </row>
    <row r="170" spans="40:41" x14ac:dyDescent="0.35">
      <c r="AN170" s="27" t="s">
        <v>700</v>
      </c>
      <c r="AO170" s="34" t="s">
        <v>681</v>
      </c>
    </row>
    <row r="171" spans="40:41" x14ac:dyDescent="0.35">
      <c r="AN171" s="27" t="s">
        <v>701</v>
      </c>
      <c r="AO171" s="34" t="s">
        <v>681</v>
      </c>
    </row>
    <row r="172" spans="40:41" x14ac:dyDescent="0.35">
      <c r="AN172" s="27" t="s">
        <v>702</v>
      </c>
      <c r="AO172" s="34" t="s">
        <v>681</v>
      </c>
    </row>
    <row r="173" spans="40:41" x14ac:dyDescent="0.35">
      <c r="AN173" s="27" t="s">
        <v>703</v>
      </c>
      <c r="AO173" s="34" t="s">
        <v>681</v>
      </c>
    </row>
    <row r="174" spans="40:41" x14ac:dyDescent="0.35">
      <c r="AN174" s="27" t="s">
        <v>704</v>
      </c>
      <c r="AO174" s="34" t="s">
        <v>681</v>
      </c>
    </row>
    <row r="175" spans="40:41" x14ac:dyDescent="0.35">
      <c r="AN175" s="27" t="s">
        <v>705</v>
      </c>
      <c r="AO175" s="34" t="s">
        <v>681</v>
      </c>
    </row>
    <row r="176" spans="40:41" x14ac:dyDescent="0.35">
      <c r="AN176" s="27" t="s">
        <v>706</v>
      </c>
      <c r="AO176" s="34" t="s">
        <v>681</v>
      </c>
    </row>
    <row r="177" spans="40:41" x14ac:dyDescent="0.35">
      <c r="AN177" s="27" t="s">
        <v>707</v>
      </c>
      <c r="AO177" s="34" t="s">
        <v>681</v>
      </c>
    </row>
    <row r="178" spans="40:41" x14ac:dyDescent="0.35">
      <c r="AN178" s="27" t="s">
        <v>708</v>
      </c>
      <c r="AO178" s="34" t="s">
        <v>681</v>
      </c>
    </row>
    <row r="179" spans="40:41" x14ac:dyDescent="0.35">
      <c r="AN179" s="27" t="s">
        <v>709</v>
      </c>
      <c r="AO179" s="34" t="s">
        <v>681</v>
      </c>
    </row>
    <row r="180" spans="40:41" x14ac:dyDescent="0.35">
      <c r="AN180" s="27" t="s">
        <v>710</v>
      </c>
      <c r="AO180" s="34" t="s">
        <v>681</v>
      </c>
    </row>
    <row r="181" spans="40:41" x14ac:dyDescent="0.35">
      <c r="AN181" s="27" t="s">
        <v>711</v>
      </c>
      <c r="AO181" s="34" t="s">
        <v>681</v>
      </c>
    </row>
    <row r="182" spans="40:41" x14ac:dyDescent="0.35">
      <c r="AN182" s="27" t="s">
        <v>712</v>
      </c>
      <c r="AO182" s="34" t="s">
        <v>681</v>
      </c>
    </row>
    <row r="183" spans="40:41" x14ac:dyDescent="0.35">
      <c r="AN183" s="27" t="s">
        <v>713</v>
      </c>
      <c r="AO183" s="34" t="s">
        <v>681</v>
      </c>
    </row>
    <row r="184" spans="40:41" x14ac:dyDescent="0.35">
      <c r="AN184" s="27" t="s">
        <v>714</v>
      </c>
      <c r="AO184" s="34" t="s">
        <v>681</v>
      </c>
    </row>
    <row r="185" spans="40:41" x14ac:dyDescent="0.35">
      <c r="AN185" s="27" t="s">
        <v>715</v>
      </c>
      <c r="AO185" s="34" t="s">
        <v>681</v>
      </c>
    </row>
    <row r="186" spans="40:41" x14ac:dyDescent="0.35">
      <c r="AN186" s="27" t="s">
        <v>716</v>
      </c>
      <c r="AO186" s="34" t="s">
        <v>681</v>
      </c>
    </row>
    <row r="187" spans="40:41" x14ac:dyDescent="0.35">
      <c r="AN187" s="27" t="s">
        <v>717</v>
      </c>
      <c r="AO187" s="34" t="s">
        <v>681</v>
      </c>
    </row>
    <row r="188" spans="40:41" x14ac:dyDescent="0.35">
      <c r="AN188" s="27" t="s">
        <v>718</v>
      </c>
      <c r="AO188" s="34" t="s">
        <v>681</v>
      </c>
    </row>
    <row r="189" spans="40:41" x14ac:dyDescent="0.35">
      <c r="AN189" s="27" t="s">
        <v>719</v>
      </c>
      <c r="AO189" s="34" t="s">
        <v>681</v>
      </c>
    </row>
    <row r="190" spans="40:41" x14ac:dyDescent="0.35">
      <c r="AN190" s="27" t="s">
        <v>720</v>
      </c>
      <c r="AO190" s="34" t="s">
        <v>681</v>
      </c>
    </row>
    <row r="191" spans="40:41" x14ac:dyDescent="0.35">
      <c r="AN191" s="27" t="s">
        <v>721</v>
      </c>
      <c r="AO191" s="34" t="s">
        <v>681</v>
      </c>
    </row>
    <row r="192" spans="40:41" x14ac:dyDescent="0.35">
      <c r="AN192" s="27" t="s">
        <v>722</v>
      </c>
      <c r="AO192" s="34" t="s">
        <v>681</v>
      </c>
    </row>
    <row r="193" spans="40:41" x14ac:dyDescent="0.35">
      <c r="AN193" s="27" t="s">
        <v>723</v>
      </c>
      <c r="AO193" s="34" t="s">
        <v>681</v>
      </c>
    </row>
    <row r="194" spans="40:41" x14ac:dyDescent="0.35">
      <c r="AN194" s="27" t="s">
        <v>724</v>
      </c>
      <c r="AO194" s="34" t="s">
        <v>681</v>
      </c>
    </row>
    <row r="195" spans="40:41" x14ac:dyDescent="0.35">
      <c r="AN195" s="27" t="s">
        <v>725</v>
      </c>
      <c r="AO195" s="34" t="s">
        <v>681</v>
      </c>
    </row>
    <row r="196" spans="40:41" x14ac:dyDescent="0.35">
      <c r="AN196" s="27" t="s">
        <v>726</v>
      </c>
      <c r="AO196" s="34" t="s">
        <v>681</v>
      </c>
    </row>
    <row r="197" spans="40:41" x14ac:dyDescent="0.35">
      <c r="AN197" s="27" t="s">
        <v>727</v>
      </c>
      <c r="AO197" s="34" t="s">
        <v>681</v>
      </c>
    </row>
    <row r="198" spans="40:41" x14ac:dyDescent="0.35">
      <c r="AN198" s="27" t="s">
        <v>728</v>
      </c>
      <c r="AO198" s="34" t="s">
        <v>681</v>
      </c>
    </row>
    <row r="199" spans="40:41" x14ac:dyDescent="0.35">
      <c r="AN199" s="27" t="s">
        <v>729</v>
      </c>
      <c r="AO199" s="34" t="s">
        <v>681</v>
      </c>
    </row>
    <row r="200" spans="40:41" x14ac:dyDescent="0.35">
      <c r="AN200" s="27" t="s">
        <v>730</v>
      </c>
      <c r="AO200" s="34" t="s">
        <v>681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DACCCA7996CF64B856B4BAD470DD6B7" ma:contentTypeVersion="18" ma:contentTypeDescription="Create a new document." ma:contentTypeScope="" ma:versionID="0a50957f769aea531f1ca3e83da6c2bb">
  <xsd:schema xmlns:xsd="http://www.w3.org/2001/XMLSchema" xmlns:xs="http://www.w3.org/2001/XMLSchema" xmlns:p="http://schemas.microsoft.com/office/2006/metadata/properties" xmlns:ns2="bec82bb7-43a9-4877-bc46-c8126e0985f1" xmlns:ns3="754c13a9-56af-47d7-a399-8eb2a1712d1d" targetNamespace="http://schemas.microsoft.com/office/2006/metadata/properties" ma:root="true" ma:fieldsID="e67b5049dcc6fdce9681d9a8af322f89" ns2:_="" ns3:_="">
    <xsd:import namespace="bec82bb7-43a9-4877-bc46-c8126e0985f1"/>
    <xsd:import namespace="754c13a9-56af-47d7-a399-8eb2a1712d1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2:MediaServiceLocation" minOccurs="0"/>
                <xsd:element ref="ns2:TransferFolder" minOccurs="0"/>
                <xsd:element ref="ns2:MediaServiceBillingMetadata"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ec82bb7-43a9-4877-bc46-c8126e0985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9353dbe8-8260-4ccf-8219-3d2995e6fa15"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TransferFolder" ma:index="23" nillable="true" ma:displayName="Transfer Folder" ma:description="Transfer &quot;Folder Name&quot; to new folder &quot;Epi&quot; " ma:format="Dropdown" ma:internalName="TransferFolder">
      <xsd:simpleType>
        <xsd:restriction base="dms:Note">
          <xsd:maxLength value="255"/>
        </xsd:restriction>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Notes" ma:index="25" nillable="true" ma:displayName="Notes" ma:format="Dropdown" ma:internalName="Note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54c13a9-56af-47d7-a399-8eb2a1712d1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44f62191-0b99-4a42-bf98-c2af234bb8a6}" ma:internalName="TaxCatchAll" ma:showField="CatchAllData" ma:web="754c13a9-56af-47d7-a399-8eb2a1712d1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ec82bb7-43a9-4877-bc46-c8126e0985f1">
      <Terms xmlns="http://schemas.microsoft.com/office/infopath/2007/PartnerControls"/>
    </lcf76f155ced4ddcb4097134ff3c332f>
    <TaxCatchAll xmlns="754c13a9-56af-47d7-a399-8eb2a1712d1d" xsi:nil="true"/>
    <SharedWithUsers xmlns="754c13a9-56af-47d7-a399-8eb2a1712d1d">
      <UserInfo>
        <DisplayName>Welsh, Rory (CDC/NCEZID/DIDRI/RRRSB)</DisplayName>
        <AccountId>51</AccountId>
        <AccountType/>
      </UserInfo>
      <UserInfo>
        <DisplayName>Mercante, Jeffrey W. (CDC/NCEZID/DIDRI/RRRSB)</DisplayName>
        <AccountId>24</AccountId>
        <AccountType/>
      </UserInfo>
      <UserInfo>
        <DisplayName>Feistel, Dorian (CDC/NCEZID/DIDRI/RRRSB)</DisplayName>
        <AccountId>67</AccountId>
        <AccountType/>
      </UserInfo>
      <UserInfo>
        <DisplayName>Shin, Soo (CDC/NCEZID/DIDRI/RRRSB) (CTR)</DisplayName>
        <AccountId>53</AccountId>
        <AccountType/>
      </UserInfo>
      <UserInfo>
        <DisplayName>Smith, Novelle (CDC/DDID/NCEZID/DFWED) (CTR)</DisplayName>
        <AccountId>327</AccountId>
        <AccountType/>
      </UserInfo>
      <UserInfo>
        <DisplayName>Bias, Megan (CDC/NCEZID/DIDRI/RRRSB)</DisplayName>
        <AccountId>70</AccountId>
        <AccountType/>
      </UserInfo>
      <UserInfo>
        <DisplayName>Reese, Heather (CDC/NCEZID/DIDRI/RRRSB)</DisplayName>
        <AccountId>56</AccountId>
        <AccountType/>
      </UserInfo>
      <UserInfo>
        <DisplayName>Webb, Jenna (CDC/NCEZID/DIDRI/RRRSB) (CTR)</DisplayName>
        <AccountId>75</AccountId>
        <AccountType/>
      </UserInfo>
      <UserInfo>
        <DisplayName>Choudhury, Rakin (CDC/NCEZID/DIDRI/RRRSB)</DisplayName>
        <AccountId>81</AccountId>
        <AccountType/>
      </UserInfo>
    </SharedWithUsers>
    <MediaLengthInSeconds xmlns="bec82bb7-43a9-4877-bc46-c8126e0985f1" xsi:nil="true"/>
    <TransferFolder xmlns="bec82bb7-43a9-4877-bc46-c8126e0985f1" xsi:nil="true"/>
    <Notes xmlns="bec82bb7-43a9-4877-bc46-c8126e0985f1" xsi:nil="true"/>
  </documentManagement>
</p:properties>
</file>

<file path=customXml/itemProps1.xml><?xml version="1.0" encoding="utf-8"?>
<ds:datastoreItem xmlns:ds="http://schemas.openxmlformats.org/officeDocument/2006/customXml" ds:itemID="{24269342-D51A-463D-9941-94A427EF79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ec82bb7-43a9-4877-bc46-c8126e0985f1"/>
    <ds:schemaRef ds:uri="754c13a9-56af-47d7-a399-8eb2a1712d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2A7CE6C-B07D-4EB0-91FB-55A4C2C313C4}">
  <ds:schemaRefs>
    <ds:schemaRef ds:uri="http://schemas.microsoft.com/sharepoint/v3/contenttype/forms"/>
  </ds:schemaRefs>
</ds:datastoreItem>
</file>

<file path=customXml/itemProps3.xml><?xml version="1.0" encoding="utf-8"?>
<ds:datastoreItem xmlns:ds="http://schemas.openxmlformats.org/officeDocument/2006/customXml" ds:itemID="{2CDB439B-0341-4521-B679-04E57C8ED71B}">
  <ds:schemaRefs>
    <ds:schemaRef ds:uri="http://schemas.microsoft.com/office/2006/metadata/properties"/>
    <ds:schemaRef ds:uri="http://schemas.microsoft.com/office/infopath/2007/PartnerControls"/>
    <ds:schemaRef ds:uri="bec82bb7-43a9-4877-bc46-c8126e0985f1"/>
    <ds:schemaRef ds:uri="754c13a9-56af-47d7-a399-8eb2a1712d1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 Me</vt:lpstr>
      <vt:lpstr>Metadata</vt:lpstr>
      <vt:lpstr>Value Sets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Jennings, Wiley (CDC/DDID/NCEZID/DFWED)</dc:creator>
  <cp:keywords/>
  <dc:description/>
  <cp:lastModifiedBy>Horter, Libra (CDC/NCEZID/DIDRI/RRRSB) (CTR)</cp:lastModifiedBy>
  <cp:revision/>
  <dcterms:created xsi:type="dcterms:W3CDTF">2021-03-17T00:09:43Z</dcterms:created>
  <dcterms:modified xsi:type="dcterms:W3CDTF">2025-09-26T15:24:52Z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94a7b8-f06c-4dfe-bdcc-9b548fd58c31_Enabled">
    <vt:lpwstr>true</vt:lpwstr>
  </property>
  <property fmtid="{D5CDD505-2E9C-101B-9397-08002B2CF9AE}" pid="3" name="MSIP_Label_7b94a7b8-f06c-4dfe-bdcc-9b548fd58c31_SetDate">
    <vt:lpwstr>2021-03-17T12:38:52Z</vt:lpwstr>
  </property>
  <property fmtid="{D5CDD505-2E9C-101B-9397-08002B2CF9AE}" pid="4" name="MSIP_Label_7b94a7b8-f06c-4dfe-bdcc-9b548fd58c31_Method">
    <vt:lpwstr>Privileged</vt:lpwstr>
  </property>
  <property fmtid="{D5CDD505-2E9C-101B-9397-08002B2CF9AE}" pid="5" name="MSIP_Label_7b94a7b8-f06c-4dfe-bdcc-9b548fd58c31_Name">
    <vt:lpwstr>7b94a7b8-f06c-4dfe-bdcc-9b548fd58c31</vt:lpwstr>
  </property>
  <property fmtid="{D5CDD505-2E9C-101B-9397-08002B2CF9AE}" pid="6" name="MSIP_Label_7b94a7b8-f06c-4dfe-bdcc-9b548fd58c31_SiteId">
    <vt:lpwstr>9ce70869-60db-44fd-abe8-d2767077fc8f</vt:lpwstr>
  </property>
  <property fmtid="{D5CDD505-2E9C-101B-9397-08002B2CF9AE}" pid="7" name="MSIP_Label_7b94a7b8-f06c-4dfe-bdcc-9b548fd58c31_ActionId">
    <vt:lpwstr>61756c3f-c33c-4fec-b839-d40220715f52</vt:lpwstr>
  </property>
  <property fmtid="{D5CDD505-2E9C-101B-9397-08002B2CF9AE}" pid="8" name="MSIP_Label_7b94a7b8-f06c-4dfe-bdcc-9b548fd58c31_ContentBits">
    <vt:lpwstr>0</vt:lpwstr>
  </property>
  <property fmtid="{D5CDD505-2E9C-101B-9397-08002B2CF9AE}" pid="9" name="ContentTypeId">
    <vt:lpwstr>0x0101007DACCCA7996CF64B856B4BAD470DD6B7</vt:lpwstr>
  </property>
  <property fmtid="{D5CDD505-2E9C-101B-9397-08002B2CF9AE}" pid="10" name="MediaServiceImageTags">
    <vt:lpwstr/>
  </property>
  <property fmtid="{D5CDD505-2E9C-101B-9397-08002B2CF9AE}" pid="11" name="MSIP_Label_ea60d57e-af5b-4752-ac57-3e4f28ca11dc_Enabled">
    <vt:lpwstr>true</vt:lpwstr>
  </property>
  <property fmtid="{D5CDD505-2E9C-101B-9397-08002B2CF9AE}" pid="12" name="MSIP_Label_ea60d57e-af5b-4752-ac57-3e4f28ca11dc_SetDate">
    <vt:lpwstr>2024-02-12T16:21:22Z</vt:lpwstr>
  </property>
  <property fmtid="{D5CDD505-2E9C-101B-9397-08002B2CF9AE}" pid="13" name="MSIP_Label_ea60d57e-af5b-4752-ac57-3e4f28ca11dc_Method">
    <vt:lpwstr>Standard</vt:lpwstr>
  </property>
  <property fmtid="{D5CDD505-2E9C-101B-9397-08002B2CF9AE}" pid="14" name="MSIP_Label_ea60d57e-af5b-4752-ac57-3e4f28ca11dc_Name">
    <vt:lpwstr>ea60d57e-af5b-4752-ac57-3e4f28ca11dc</vt:lpwstr>
  </property>
  <property fmtid="{D5CDD505-2E9C-101B-9397-08002B2CF9AE}" pid="15" name="MSIP_Label_ea60d57e-af5b-4752-ac57-3e4f28ca11dc_SiteId">
    <vt:lpwstr>36da45f1-dd2c-4d1f-af13-5abe46b99921</vt:lpwstr>
  </property>
  <property fmtid="{D5CDD505-2E9C-101B-9397-08002B2CF9AE}" pid="16" name="MSIP_Label_ea60d57e-af5b-4752-ac57-3e4f28ca11dc_ActionId">
    <vt:lpwstr>533e0031-f47e-4afb-8051-70c9e2aebe7b</vt:lpwstr>
  </property>
  <property fmtid="{D5CDD505-2E9C-101B-9397-08002B2CF9AE}" pid="17" name="MSIP_Label_ea60d57e-af5b-4752-ac57-3e4f28ca11dc_ContentBits">
    <vt:lpwstr>0</vt:lpwstr>
  </property>
  <property fmtid="{D5CDD505-2E9C-101B-9397-08002B2CF9AE}" pid="18" name="xd_ProgID">
    <vt:lpwstr/>
  </property>
  <property fmtid="{D5CDD505-2E9C-101B-9397-08002B2CF9AE}" pid="19" name="ComplianceAssetId">
    <vt:lpwstr/>
  </property>
  <property fmtid="{D5CDD505-2E9C-101B-9397-08002B2CF9AE}" pid="20" name="TemplateUrl">
    <vt:lpwstr/>
  </property>
  <property fmtid="{D5CDD505-2E9C-101B-9397-08002B2CF9AE}" pid="21" name="_ExtendedDescription">
    <vt:lpwstr/>
  </property>
  <property fmtid="{D5CDD505-2E9C-101B-9397-08002B2CF9AE}" pid="22" name="xd_Signature">
    <vt:bool>false</vt:bool>
  </property>
  <property fmtid="{D5CDD505-2E9C-101B-9397-08002B2CF9AE}" pid="23" name="TriggerFlowInfo">
    <vt:lpwstr/>
  </property>
</Properties>
</file>